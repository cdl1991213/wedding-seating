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160"/>
  </bookViews>
  <sheets>
    <sheet name="配货表" sheetId="1" r:id="rId1"/>
    <sheet name="打印表" sheetId="2" r:id="rId2"/>
  </sheet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749684447F94C0D9AAE19ED0E5EA504" descr="G2229 (1)"/>
        <xdr:cNvPicPr/>
      </xdr:nvPicPr>
      <xdr:blipFill>
        <a:blip r:embed="rId1"/>
        <a:stretch>
          <a:fillRect/>
        </a:stretch>
      </xdr:blipFill>
      <xdr:spPr>
        <a:xfrm>
          <a:off x="0" y="0"/>
          <a:ext cx="6453505" cy="806767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<sst xmlns="http://schemas.openxmlformats.org/spreadsheetml/2006/main" count="72" uniqueCount="52">
  <si>
    <t>221122白色</t>
  </si>
  <si>
    <t>221122黑色</t>
  </si>
  <si>
    <t>尺码</t>
  </si>
  <si>
    <t>S</t>
  </si>
  <si>
    <t>M</t>
  </si>
  <si>
    <t>L</t>
  </si>
  <si>
    <t>XL</t>
  </si>
  <si>
    <t>XXL</t>
  </si>
  <si>
    <t>XXXL</t>
  </si>
  <si>
    <t>合计</t>
  </si>
  <si>
    <t>剩余</t>
  </si>
  <si>
    <t>A1</t>
  </si>
  <si>
    <t>兴义一</t>
  </si>
  <si>
    <t>铜仁</t>
  </si>
  <si>
    <t>A2</t>
  </si>
  <si>
    <t>新华路</t>
  </si>
  <si>
    <t>兴义二</t>
  </si>
  <si>
    <t>德江</t>
  </si>
  <si>
    <t>花二</t>
  </si>
  <si>
    <t>B</t>
  </si>
  <si>
    <t>安龙一</t>
  </si>
  <si>
    <t>普定</t>
  </si>
  <si>
    <t>金阳一</t>
  </si>
  <si>
    <t>C1</t>
  </si>
  <si>
    <t>昌明</t>
  </si>
  <si>
    <t>兴仁三</t>
  </si>
  <si>
    <t>兴仁二</t>
  </si>
  <si>
    <t>东路</t>
  </si>
  <si>
    <t>花果园</t>
  </si>
  <si>
    <t>中华路</t>
  </si>
  <si>
    <t>C2</t>
  </si>
  <si>
    <t>福泉</t>
  </si>
  <si>
    <t>站街</t>
  </si>
  <si>
    <t>龙广</t>
  </si>
  <si>
    <t>牛场</t>
  </si>
  <si>
    <t>顶效</t>
  </si>
  <si>
    <t>者相</t>
  </si>
  <si>
    <t>贞丰</t>
  </si>
  <si>
    <t>大山</t>
  </si>
  <si>
    <t>C3</t>
  </si>
  <si>
    <t>扎佐</t>
  </si>
  <si>
    <t>小河</t>
  </si>
  <si>
    <t>安龙二</t>
  </si>
  <si>
    <t>卫城</t>
  </si>
  <si>
    <t>安顺</t>
  </si>
  <si>
    <t>兴仁一</t>
  </si>
  <si>
    <t>花一</t>
  </si>
  <si>
    <t>南白</t>
  </si>
  <si>
    <t>D</t>
  </si>
  <si>
    <t>翁安二</t>
  </si>
  <si>
    <t>榕江</t>
  </si>
  <si>
    <t>正安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</si>
</sst>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yyyy&quot;年&quot;m&quot;月&quot;d&quot;日&quot;;@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3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3" fillId="28" borderId="11" applyNumberFormat="0" applyAlignment="0" applyProtection="0">
      <alignment vertical="center"/>
    </xf>
    <xf numFmtId="0" fontId="25" fillId="28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"/>
  <sheetViews>
    <sheetView tabSelected="1" workbookViewId="0">
      <pane ySplit="4" topLeftCell="A5" activePane="bottomLeft" state="frozen"/>
      <selection/>
      <selection pane="bottomLeft" activeCell="C6" sqref="C6"/>
    </sheetView>
  </sheetViews>
  <sheetFormatPr defaultColWidth="9" defaultRowHeight="13.5"/>
  <cols>
    <col min="3" max="8" width="8.17699115044248" customWidth="1"/>
    <col min="9" max="9" width="3.71681415929204" customWidth="1"/>
    <col min="10" max="16" width="8.17699115044248" customWidth="1"/>
  </cols>
  <sheetData>
    <row r="1" spans="1:16">
      <c r="A1" s="6">
        <f>-LOOKUP(0,-LEFT(C1,ROW($1:$15)))</f>
        <v>221122</v>
      </c>
      <c r="B1" s="15"/>
      <c r="C1" s="16" t="s">
        <v>0</v>
      </c>
      <c r="D1" s="16"/>
      <c r="E1" s="16"/>
      <c r="F1" s="16"/>
      <c r="G1" s="16"/>
      <c r="H1" s="16"/>
      <c r="I1" s="16"/>
      <c r="J1" s="16" t="s">
        <v>1</v>
      </c>
      <c r="K1" s="16"/>
      <c r="L1" s="16"/>
      <c r="M1" s="16"/>
      <c r="N1" s="16"/>
      <c r="O1" s="16"/>
      <c r="P1" s="6"/>
    </row>
    <row r="2" spans="1:16">
      <c r="A2" s="6"/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/>
      <c r="J2" s="16" t="s">
        <v>3</v>
      </c>
      <c r="K2" s="16" t="s">
        <v>4</v>
      </c>
      <c r="L2" s="16" t="s">
        <v>5</v>
      </c>
      <c r="M2" s="16" t="s">
        <v>6</v>
      </c>
      <c r="N2" s="16" t="s">
        <v>7</v>
      </c>
      <c r="O2" s="16" t="s">
        <v>8</v>
      </c>
      <c r="P2" s="16" t="s">
        <v>9</v>
      </c>
    </row>
    <row r="3" spans="1:16">
      <c r="A3" s="6"/>
      <c r="B3" s="17" t="s">
        <v>9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>
        <f>SUM(C3:O3)</f>
        <v>0</v>
      </c>
    </row>
    <row r="4" spans="1:16">
      <c r="A4" s="6"/>
      <c r="B4" s="17" t="s">
        <v>10</v>
      </c>
      <c r="C4" s="16">
        <f ca="1" t="shared" ref="C4:H4" si="0">C3-SUM(C7:C40)</f>
        <v>-71</v>
      </c>
      <c r="D4" s="16">
        <f ca="1" t="shared" si="0"/>
        <v>-63</v>
      </c>
      <c r="E4" s="16">
        <f ca="1" t="shared" si="0"/>
        <v>-69</v>
      </c>
      <c r="F4" s="16">
        <f ca="1" t="shared" si="0"/>
        <v>-68</v>
      </c>
      <c r="G4" s="16">
        <f ca="1" t="shared" si="0"/>
        <v>-67</v>
      </c>
      <c r="H4" s="16">
        <f ca="1" t="shared" si="0"/>
        <v>-67</v>
      </c>
      <c r="I4" s="16"/>
      <c r="J4" s="16">
        <f ca="1" t="shared" ref="J4:O4" si="1">J3-SUM(J7:J40)</f>
        <v>-68</v>
      </c>
      <c r="K4" s="16">
        <f ca="1" t="shared" si="1"/>
        <v>-66</v>
      </c>
      <c r="L4" s="16">
        <f ca="1" t="shared" si="1"/>
        <v>-60</v>
      </c>
      <c r="M4" s="16">
        <f ca="1" t="shared" si="1"/>
        <v>-71</v>
      </c>
      <c r="N4" s="16">
        <f ca="1" t="shared" si="1"/>
        <v>-64</v>
      </c>
      <c r="O4" s="16">
        <f ca="1" t="shared" si="1"/>
        <v>-70</v>
      </c>
      <c r="P4" s="16">
        <f ca="1">SUM(C4:O4)</f>
        <v>-804</v>
      </c>
    </row>
    <row r="5" spans="1:19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tr">
        <f>_xlfn.DISPIMG("ID_E749684447F94C0D9AAE19ED0E5EA504",1)</f>
        <v>=DISPIMG("ID_E749684447F94C0D9AAE19ED0E5EA504",1)</v>
      </c>
      <c r="R5" s="18"/>
      <c r="S5" s="18"/>
    </row>
    <row r="6" spans="1:19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18"/>
      <c r="R6" s="18"/>
      <c r="S6" s="18"/>
    </row>
    <row r="7" ht="20" customHeight="1" spans="1:19">
      <c r="A7" s="16" t="s">
        <v>11</v>
      </c>
      <c r="B7" s="16" t="s">
        <v>12</v>
      </c>
      <c r="C7" s="16">
        <f ca="1" t="shared" ref="C7:H7" si="2">RANDBETWEEN(1,3)</f>
        <v>2</v>
      </c>
      <c r="D7" s="16">
        <f ca="1" t="shared" si="2"/>
        <v>2</v>
      </c>
      <c r="E7" s="16">
        <f ca="1" t="shared" si="2"/>
        <v>3</v>
      </c>
      <c r="F7" s="16">
        <f ca="1" t="shared" si="2"/>
        <v>2</v>
      </c>
      <c r="G7" s="16">
        <f ca="1" t="shared" si="2"/>
        <v>1</v>
      </c>
      <c r="H7" s="16">
        <f ca="1" t="shared" si="2"/>
        <v>2</v>
      </c>
      <c r="I7" s="16"/>
      <c r="J7" s="16">
        <f ca="1" t="shared" ref="J7:O7" si="3">RANDBETWEEN(1,3)</f>
        <v>1</v>
      </c>
      <c r="K7" s="16">
        <f ca="1" t="shared" si="3"/>
        <v>1</v>
      </c>
      <c r="L7" s="16">
        <f ca="1" t="shared" si="3"/>
        <v>2</v>
      </c>
      <c r="M7" s="16">
        <f ca="1" t="shared" si="3"/>
        <v>1</v>
      </c>
      <c r="N7" s="16">
        <f ca="1" t="shared" si="3"/>
        <v>1</v>
      </c>
      <c r="O7" s="16">
        <f ca="1" t="shared" si="3"/>
        <v>2</v>
      </c>
      <c r="P7" s="2">
        <f ca="1">SUM(C7:O7)</f>
        <v>20</v>
      </c>
      <c r="Q7" s="18"/>
      <c r="R7" s="18"/>
      <c r="S7" s="18"/>
    </row>
    <row r="8" ht="20" customHeight="1" spans="1:19">
      <c r="A8" s="16"/>
      <c r="B8" s="16" t="s">
        <v>13</v>
      </c>
      <c r="C8" s="16">
        <f ca="1" t="shared" ref="C8:C17" si="4">RANDBETWEEN(1,3)</f>
        <v>1</v>
      </c>
      <c r="D8" s="16">
        <f ca="1" t="shared" ref="D8:D17" si="5">RANDBETWEEN(1,3)</f>
        <v>1</v>
      </c>
      <c r="E8" s="16">
        <f ca="1" t="shared" ref="E8:E17" si="6">RANDBETWEEN(1,3)</f>
        <v>3</v>
      </c>
      <c r="F8" s="16">
        <f ca="1" t="shared" ref="F8:F17" si="7">RANDBETWEEN(1,3)</f>
        <v>1</v>
      </c>
      <c r="G8" s="16">
        <f ca="1" t="shared" ref="G8:G17" si="8">RANDBETWEEN(1,3)</f>
        <v>3</v>
      </c>
      <c r="H8" s="16">
        <f ca="1" t="shared" ref="H8:H17" si="9">RANDBETWEEN(1,3)</f>
        <v>3</v>
      </c>
      <c r="I8" s="16"/>
      <c r="J8" s="16">
        <f ca="1" t="shared" ref="J8:J17" si="10">RANDBETWEEN(1,3)</f>
        <v>3</v>
      </c>
      <c r="K8" s="16">
        <f ca="1" t="shared" ref="K8:K17" si="11">RANDBETWEEN(1,3)</f>
        <v>1</v>
      </c>
      <c r="L8" s="16">
        <f ca="1" t="shared" ref="L8:L17" si="12">RANDBETWEEN(1,3)</f>
        <v>1</v>
      </c>
      <c r="M8" s="16">
        <f ca="1" t="shared" ref="M8:M17" si="13">RANDBETWEEN(1,3)</f>
        <v>3</v>
      </c>
      <c r="N8" s="16">
        <f ca="1" t="shared" ref="N8:N17" si="14">RANDBETWEEN(1,3)</f>
        <v>3</v>
      </c>
      <c r="O8" s="16">
        <f ca="1" t="shared" ref="O8:O17" si="15">RANDBETWEEN(1,3)</f>
        <v>2</v>
      </c>
      <c r="P8" s="2">
        <f ca="1" t="shared" ref="P8:P40" si="16">SUM(C8:O8)</f>
        <v>25</v>
      </c>
      <c r="Q8" s="18"/>
      <c r="R8" s="18"/>
      <c r="S8" s="18"/>
    </row>
    <row r="9" ht="20" customHeight="1" spans="1:19">
      <c r="A9" s="16" t="s">
        <v>14</v>
      </c>
      <c r="B9" s="16" t="s">
        <v>15</v>
      </c>
      <c r="C9" s="16">
        <f ca="1" t="shared" si="4"/>
        <v>3</v>
      </c>
      <c r="D9" s="16">
        <f ca="1" t="shared" si="5"/>
        <v>1</v>
      </c>
      <c r="E9" s="16">
        <f ca="1" t="shared" si="6"/>
        <v>3</v>
      </c>
      <c r="F9" s="16">
        <f ca="1" t="shared" si="7"/>
        <v>2</v>
      </c>
      <c r="G9" s="16">
        <f ca="1" t="shared" si="8"/>
        <v>3</v>
      </c>
      <c r="H9" s="16">
        <f ca="1" t="shared" si="9"/>
        <v>3</v>
      </c>
      <c r="I9" s="16"/>
      <c r="J9" s="16">
        <f ca="1" t="shared" si="10"/>
        <v>2</v>
      </c>
      <c r="K9" s="16">
        <f ca="1" t="shared" si="11"/>
        <v>2</v>
      </c>
      <c r="L9" s="16">
        <f ca="1" t="shared" si="12"/>
        <v>1</v>
      </c>
      <c r="M9" s="16">
        <f ca="1" t="shared" si="13"/>
        <v>2</v>
      </c>
      <c r="N9" s="16">
        <f ca="1" t="shared" si="14"/>
        <v>1</v>
      </c>
      <c r="O9" s="16">
        <f ca="1" t="shared" si="15"/>
        <v>2</v>
      </c>
      <c r="P9" s="2">
        <f ca="1" t="shared" si="16"/>
        <v>25</v>
      </c>
      <c r="Q9" s="18"/>
      <c r="R9" s="18"/>
      <c r="S9" s="18"/>
    </row>
    <row r="10" ht="20" customHeight="1" spans="1:19">
      <c r="A10" s="16"/>
      <c r="B10" s="16" t="s">
        <v>16</v>
      </c>
      <c r="C10" s="16">
        <f ca="1" t="shared" si="4"/>
        <v>1</v>
      </c>
      <c r="D10" s="16">
        <f ca="1" t="shared" si="5"/>
        <v>2</v>
      </c>
      <c r="E10" s="16">
        <f ca="1" t="shared" si="6"/>
        <v>2</v>
      </c>
      <c r="F10" s="16">
        <f ca="1" t="shared" si="7"/>
        <v>2</v>
      </c>
      <c r="G10" s="16">
        <f ca="1" t="shared" si="8"/>
        <v>3</v>
      </c>
      <c r="H10" s="16">
        <f ca="1" t="shared" si="9"/>
        <v>2</v>
      </c>
      <c r="I10" s="16"/>
      <c r="J10" s="16">
        <f ca="1" t="shared" si="10"/>
        <v>3</v>
      </c>
      <c r="K10" s="16">
        <f ca="1" t="shared" si="11"/>
        <v>3</v>
      </c>
      <c r="L10" s="16">
        <f ca="1" t="shared" si="12"/>
        <v>1</v>
      </c>
      <c r="M10" s="16">
        <f ca="1" t="shared" si="13"/>
        <v>3</v>
      </c>
      <c r="N10" s="16">
        <f ca="1" t="shared" si="14"/>
        <v>2</v>
      </c>
      <c r="O10" s="16">
        <f ca="1" t="shared" si="15"/>
        <v>2</v>
      </c>
      <c r="P10" s="2">
        <f ca="1" t="shared" si="16"/>
        <v>26</v>
      </c>
      <c r="Q10" s="18"/>
      <c r="R10" s="18"/>
      <c r="S10" s="18"/>
    </row>
    <row r="11" ht="20" customHeight="1" spans="1:19">
      <c r="A11" s="16"/>
      <c r="B11" s="16" t="s">
        <v>17</v>
      </c>
      <c r="C11" s="16">
        <f ca="1" t="shared" si="4"/>
        <v>2</v>
      </c>
      <c r="D11" s="16">
        <f ca="1" t="shared" si="5"/>
        <v>3</v>
      </c>
      <c r="E11" s="16">
        <f ca="1" t="shared" si="6"/>
        <v>1</v>
      </c>
      <c r="F11" s="16">
        <f ca="1" t="shared" si="7"/>
        <v>3</v>
      </c>
      <c r="G11" s="16">
        <f ca="1" t="shared" si="8"/>
        <v>1</v>
      </c>
      <c r="H11" s="16">
        <f ca="1" t="shared" si="9"/>
        <v>2</v>
      </c>
      <c r="I11" s="16"/>
      <c r="J11" s="16">
        <f ca="1" t="shared" si="10"/>
        <v>3</v>
      </c>
      <c r="K11" s="16">
        <f ca="1" t="shared" si="11"/>
        <v>3</v>
      </c>
      <c r="L11" s="16">
        <f ca="1" t="shared" si="12"/>
        <v>3</v>
      </c>
      <c r="M11" s="16">
        <f ca="1" t="shared" si="13"/>
        <v>1</v>
      </c>
      <c r="N11" s="16">
        <f ca="1" t="shared" si="14"/>
        <v>1</v>
      </c>
      <c r="O11" s="16">
        <f ca="1" t="shared" si="15"/>
        <v>1</v>
      </c>
      <c r="P11" s="2">
        <f ca="1" t="shared" si="16"/>
        <v>24</v>
      </c>
      <c r="Q11" s="18"/>
      <c r="R11" s="18"/>
      <c r="S11" s="18"/>
    </row>
    <row r="12" ht="20" customHeight="1" spans="1:19">
      <c r="A12" s="16"/>
      <c r="B12" s="16" t="s">
        <v>18</v>
      </c>
      <c r="C12" s="16">
        <f ca="1" t="shared" si="4"/>
        <v>2</v>
      </c>
      <c r="D12" s="16">
        <f ca="1" t="shared" si="5"/>
        <v>2</v>
      </c>
      <c r="E12" s="16">
        <f ca="1" t="shared" si="6"/>
        <v>3</v>
      </c>
      <c r="F12" s="16">
        <f ca="1" t="shared" si="7"/>
        <v>1</v>
      </c>
      <c r="G12" s="16">
        <f ca="1" t="shared" si="8"/>
        <v>1</v>
      </c>
      <c r="H12" s="16">
        <f ca="1" t="shared" si="9"/>
        <v>2</v>
      </c>
      <c r="I12" s="16"/>
      <c r="J12" s="16">
        <f ca="1" t="shared" si="10"/>
        <v>1</v>
      </c>
      <c r="K12" s="16">
        <f ca="1" t="shared" si="11"/>
        <v>3</v>
      </c>
      <c r="L12" s="16">
        <f ca="1" t="shared" si="12"/>
        <v>2</v>
      </c>
      <c r="M12" s="16">
        <f ca="1" t="shared" si="13"/>
        <v>1</v>
      </c>
      <c r="N12" s="16">
        <f ca="1" t="shared" si="14"/>
        <v>1</v>
      </c>
      <c r="O12" s="16">
        <f ca="1" t="shared" si="15"/>
        <v>3</v>
      </c>
      <c r="P12" s="2">
        <f ca="1" t="shared" si="16"/>
        <v>22</v>
      </c>
      <c r="Q12" s="18"/>
      <c r="R12" s="18"/>
      <c r="S12" s="18"/>
    </row>
    <row r="13" ht="20" customHeight="1" spans="1:16">
      <c r="A13" s="16" t="s">
        <v>19</v>
      </c>
      <c r="B13" s="16" t="s">
        <v>20</v>
      </c>
      <c r="C13" s="16">
        <f ca="1" t="shared" si="4"/>
        <v>1</v>
      </c>
      <c r="D13" s="16">
        <f ca="1" t="shared" si="5"/>
        <v>1</v>
      </c>
      <c r="E13" s="16">
        <f ca="1" t="shared" si="6"/>
        <v>1</v>
      </c>
      <c r="F13" s="16">
        <f ca="1" t="shared" si="7"/>
        <v>2</v>
      </c>
      <c r="G13" s="16">
        <f ca="1" t="shared" si="8"/>
        <v>1</v>
      </c>
      <c r="H13" s="16">
        <f ca="1" t="shared" si="9"/>
        <v>2</v>
      </c>
      <c r="I13" s="16"/>
      <c r="J13" s="16">
        <f ca="1" t="shared" si="10"/>
        <v>2</v>
      </c>
      <c r="K13" s="16">
        <f ca="1" t="shared" si="11"/>
        <v>3</v>
      </c>
      <c r="L13" s="16">
        <f ca="1" t="shared" si="12"/>
        <v>3</v>
      </c>
      <c r="M13" s="16">
        <f ca="1" t="shared" si="13"/>
        <v>1</v>
      </c>
      <c r="N13" s="16">
        <f ca="1" t="shared" si="14"/>
        <v>1</v>
      </c>
      <c r="O13" s="16">
        <f ca="1" t="shared" si="15"/>
        <v>3</v>
      </c>
      <c r="P13" s="16">
        <f ca="1" t="shared" si="16"/>
        <v>21</v>
      </c>
    </row>
    <row r="14" ht="20" customHeight="1" spans="1:16">
      <c r="A14" s="16"/>
      <c r="B14" s="16" t="s">
        <v>21</v>
      </c>
      <c r="C14" s="16">
        <f ca="1" t="shared" si="4"/>
        <v>2</v>
      </c>
      <c r="D14" s="16">
        <f ca="1" t="shared" si="5"/>
        <v>1</v>
      </c>
      <c r="E14" s="16">
        <f ca="1" t="shared" si="6"/>
        <v>1</v>
      </c>
      <c r="F14" s="16">
        <f ca="1" t="shared" si="7"/>
        <v>2</v>
      </c>
      <c r="G14" s="16">
        <f ca="1" t="shared" si="8"/>
        <v>2</v>
      </c>
      <c r="H14" s="16">
        <f ca="1" t="shared" si="9"/>
        <v>1</v>
      </c>
      <c r="I14" s="16"/>
      <c r="J14" s="16">
        <f ca="1" t="shared" si="10"/>
        <v>2</v>
      </c>
      <c r="K14" s="16">
        <f ca="1" t="shared" si="11"/>
        <v>1</v>
      </c>
      <c r="L14" s="16">
        <f ca="1" t="shared" si="12"/>
        <v>1</v>
      </c>
      <c r="M14" s="16">
        <f ca="1" t="shared" si="13"/>
        <v>3</v>
      </c>
      <c r="N14" s="16">
        <f ca="1" t="shared" si="14"/>
        <v>1</v>
      </c>
      <c r="O14" s="16">
        <f ca="1" t="shared" si="15"/>
        <v>3</v>
      </c>
      <c r="P14" s="16">
        <f ca="1" t="shared" si="16"/>
        <v>20</v>
      </c>
    </row>
    <row r="15" ht="20" customHeight="1" spans="1:16">
      <c r="A15" s="16"/>
      <c r="B15" s="16" t="s">
        <v>22</v>
      </c>
      <c r="C15" s="16">
        <f ca="1" t="shared" si="4"/>
        <v>1</v>
      </c>
      <c r="D15" s="16">
        <f ca="1" t="shared" si="5"/>
        <v>3</v>
      </c>
      <c r="E15" s="16">
        <f ca="1" t="shared" si="6"/>
        <v>1</v>
      </c>
      <c r="F15" s="16">
        <f ca="1" t="shared" si="7"/>
        <v>1</v>
      </c>
      <c r="G15" s="16">
        <f ca="1" t="shared" si="8"/>
        <v>2</v>
      </c>
      <c r="H15" s="16">
        <f ca="1" t="shared" si="9"/>
        <v>3</v>
      </c>
      <c r="I15" s="16"/>
      <c r="J15" s="16">
        <f ca="1" t="shared" si="10"/>
        <v>3</v>
      </c>
      <c r="K15" s="16">
        <f ca="1" t="shared" si="11"/>
        <v>1</v>
      </c>
      <c r="L15" s="16">
        <f ca="1" t="shared" si="12"/>
        <v>3</v>
      </c>
      <c r="M15" s="16">
        <f ca="1" t="shared" si="13"/>
        <v>3</v>
      </c>
      <c r="N15" s="16">
        <f ca="1" t="shared" si="14"/>
        <v>2</v>
      </c>
      <c r="O15" s="16">
        <f ca="1" t="shared" si="15"/>
        <v>3</v>
      </c>
      <c r="P15" s="16">
        <f ca="1" t="shared" si="16"/>
        <v>26</v>
      </c>
    </row>
    <row r="16" ht="20" customHeight="1" spans="1:16">
      <c r="A16" s="16" t="s">
        <v>23</v>
      </c>
      <c r="B16" s="16" t="s">
        <v>24</v>
      </c>
      <c r="C16" s="16">
        <f ca="1" t="shared" si="4"/>
        <v>1</v>
      </c>
      <c r="D16" s="16">
        <f ca="1" t="shared" si="5"/>
        <v>2</v>
      </c>
      <c r="E16" s="16">
        <f ca="1" t="shared" si="6"/>
        <v>2</v>
      </c>
      <c r="F16" s="16">
        <f ca="1" t="shared" si="7"/>
        <v>1</v>
      </c>
      <c r="G16" s="16">
        <f ca="1" t="shared" si="8"/>
        <v>1</v>
      </c>
      <c r="H16" s="16">
        <f ca="1" t="shared" si="9"/>
        <v>1</v>
      </c>
      <c r="I16" s="16"/>
      <c r="J16" s="16">
        <f ca="1" t="shared" si="10"/>
        <v>3</v>
      </c>
      <c r="K16" s="16">
        <f ca="1" t="shared" si="11"/>
        <v>1</v>
      </c>
      <c r="L16" s="16">
        <f ca="1" t="shared" si="12"/>
        <v>2</v>
      </c>
      <c r="M16" s="16">
        <f ca="1" t="shared" si="13"/>
        <v>3</v>
      </c>
      <c r="N16" s="16">
        <f ca="1" t="shared" si="14"/>
        <v>3</v>
      </c>
      <c r="O16" s="16">
        <f ca="1" t="shared" si="15"/>
        <v>2</v>
      </c>
      <c r="P16" s="16">
        <f ca="1" t="shared" si="16"/>
        <v>22</v>
      </c>
    </row>
    <row r="17" ht="20" customHeight="1" spans="1:16">
      <c r="A17" s="16"/>
      <c r="B17" s="16" t="s">
        <v>25</v>
      </c>
      <c r="C17" s="16">
        <f ca="1" t="shared" si="4"/>
        <v>2</v>
      </c>
      <c r="D17" s="16">
        <f ca="1" t="shared" si="5"/>
        <v>2</v>
      </c>
      <c r="E17" s="16">
        <f ca="1" t="shared" si="6"/>
        <v>2</v>
      </c>
      <c r="F17" s="16">
        <f ca="1" t="shared" si="7"/>
        <v>2</v>
      </c>
      <c r="G17" s="16">
        <f ca="1" t="shared" si="8"/>
        <v>2</v>
      </c>
      <c r="H17" s="16">
        <f ca="1" t="shared" si="9"/>
        <v>3</v>
      </c>
      <c r="I17" s="16"/>
      <c r="J17" s="16">
        <f ca="1" t="shared" si="10"/>
        <v>1</v>
      </c>
      <c r="K17" s="16">
        <f ca="1" t="shared" si="11"/>
        <v>2</v>
      </c>
      <c r="L17" s="16">
        <f ca="1" t="shared" si="12"/>
        <v>2</v>
      </c>
      <c r="M17" s="16">
        <f ca="1" t="shared" si="13"/>
        <v>2</v>
      </c>
      <c r="N17" s="16">
        <f ca="1" t="shared" si="14"/>
        <v>2</v>
      </c>
      <c r="O17" s="16">
        <f ca="1" t="shared" si="15"/>
        <v>1</v>
      </c>
      <c r="P17" s="16">
        <f ca="1" t="shared" si="16"/>
        <v>23</v>
      </c>
    </row>
    <row r="18" ht="20" customHeight="1" spans="1:16">
      <c r="A18" s="16"/>
      <c r="B18" s="16" t="s">
        <v>26</v>
      </c>
      <c r="C18" s="16">
        <f ca="1" t="shared" ref="C18:C27" si="17">RANDBETWEEN(1,3)</f>
        <v>3</v>
      </c>
      <c r="D18" s="16">
        <f ca="1" t="shared" ref="D18:D27" si="18">RANDBETWEEN(1,3)</f>
        <v>1</v>
      </c>
      <c r="E18" s="16">
        <f ca="1" t="shared" ref="E18:E27" si="19">RANDBETWEEN(1,3)</f>
        <v>3</v>
      </c>
      <c r="F18" s="16">
        <f ca="1" t="shared" ref="F18:F27" si="20">RANDBETWEEN(1,3)</f>
        <v>1</v>
      </c>
      <c r="G18" s="16">
        <f ca="1" t="shared" ref="G18:G27" si="21">RANDBETWEEN(1,3)</f>
        <v>3</v>
      </c>
      <c r="H18" s="16">
        <f ca="1" t="shared" ref="H18:H27" si="22">RANDBETWEEN(1,3)</f>
        <v>1</v>
      </c>
      <c r="I18" s="16"/>
      <c r="J18" s="16">
        <f ca="1" t="shared" ref="J18:J27" si="23">RANDBETWEEN(1,3)</f>
        <v>1</v>
      </c>
      <c r="K18" s="16">
        <f ca="1" t="shared" ref="K18:K27" si="24">RANDBETWEEN(1,3)</f>
        <v>1</v>
      </c>
      <c r="L18" s="16">
        <f ca="1" t="shared" ref="L18:L27" si="25">RANDBETWEEN(1,3)</f>
        <v>3</v>
      </c>
      <c r="M18" s="16">
        <f ca="1" t="shared" ref="M18:M27" si="26">RANDBETWEEN(1,3)</f>
        <v>1</v>
      </c>
      <c r="N18" s="16">
        <f ca="1" t="shared" ref="N18:N27" si="27">RANDBETWEEN(1,3)</f>
        <v>2</v>
      </c>
      <c r="O18" s="16">
        <f ca="1" t="shared" ref="O18:O27" si="28">RANDBETWEEN(1,3)</f>
        <v>1</v>
      </c>
      <c r="P18" s="16">
        <f ca="1" t="shared" si="16"/>
        <v>21</v>
      </c>
    </row>
    <row r="19" ht="20" customHeight="1" spans="1:16">
      <c r="A19" s="16"/>
      <c r="B19" s="16" t="s">
        <v>27</v>
      </c>
      <c r="C19" s="16">
        <f ca="1" t="shared" si="17"/>
        <v>1</v>
      </c>
      <c r="D19" s="16">
        <f ca="1" t="shared" si="18"/>
        <v>2</v>
      </c>
      <c r="E19" s="16">
        <f ca="1" t="shared" si="19"/>
        <v>1</v>
      </c>
      <c r="F19" s="16">
        <f ca="1" t="shared" si="20"/>
        <v>1</v>
      </c>
      <c r="G19" s="16">
        <f ca="1" t="shared" si="21"/>
        <v>3</v>
      </c>
      <c r="H19" s="16">
        <f ca="1" t="shared" si="22"/>
        <v>2</v>
      </c>
      <c r="I19" s="16"/>
      <c r="J19" s="16">
        <f ca="1" t="shared" si="23"/>
        <v>3</v>
      </c>
      <c r="K19" s="16">
        <f ca="1" t="shared" si="24"/>
        <v>2</v>
      </c>
      <c r="L19" s="16">
        <f ca="1" t="shared" si="25"/>
        <v>3</v>
      </c>
      <c r="M19" s="16">
        <f ca="1" t="shared" si="26"/>
        <v>2</v>
      </c>
      <c r="N19" s="16">
        <f ca="1" t="shared" si="27"/>
        <v>1</v>
      </c>
      <c r="O19" s="16">
        <f ca="1" t="shared" si="28"/>
        <v>2</v>
      </c>
      <c r="P19" s="16">
        <f ca="1" t="shared" si="16"/>
        <v>23</v>
      </c>
    </row>
    <row r="20" ht="20" customHeight="1" spans="1:16">
      <c r="A20" s="16"/>
      <c r="B20" s="16" t="s">
        <v>28</v>
      </c>
      <c r="C20" s="16">
        <f ca="1" t="shared" si="17"/>
        <v>2</v>
      </c>
      <c r="D20" s="16">
        <f ca="1" t="shared" si="18"/>
        <v>3</v>
      </c>
      <c r="E20" s="16">
        <f ca="1" t="shared" si="19"/>
        <v>1</v>
      </c>
      <c r="F20" s="16">
        <f ca="1" t="shared" si="20"/>
        <v>1</v>
      </c>
      <c r="G20" s="16">
        <f ca="1" t="shared" si="21"/>
        <v>3</v>
      </c>
      <c r="H20" s="16">
        <f ca="1" t="shared" si="22"/>
        <v>1</v>
      </c>
      <c r="I20" s="16"/>
      <c r="J20" s="16">
        <f ca="1" t="shared" si="23"/>
        <v>1</v>
      </c>
      <c r="K20" s="16">
        <f ca="1" t="shared" si="24"/>
        <v>3</v>
      </c>
      <c r="L20" s="16">
        <f ca="1" t="shared" si="25"/>
        <v>1</v>
      </c>
      <c r="M20" s="16">
        <f ca="1" t="shared" si="26"/>
        <v>3</v>
      </c>
      <c r="N20" s="16">
        <f ca="1" t="shared" si="27"/>
        <v>1</v>
      </c>
      <c r="O20" s="16">
        <f ca="1" t="shared" si="28"/>
        <v>3</v>
      </c>
      <c r="P20" s="16">
        <f ca="1" t="shared" si="16"/>
        <v>23</v>
      </c>
    </row>
    <row r="21" ht="20" customHeight="1" spans="1:16">
      <c r="A21" s="16"/>
      <c r="B21" s="16" t="s">
        <v>29</v>
      </c>
      <c r="C21" s="16">
        <f ca="1" t="shared" si="17"/>
        <v>1</v>
      </c>
      <c r="D21" s="16">
        <f ca="1" t="shared" si="18"/>
        <v>2</v>
      </c>
      <c r="E21" s="16">
        <f ca="1" t="shared" si="19"/>
        <v>2</v>
      </c>
      <c r="F21" s="16">
        <f ca="1" t="shared" si="20"/>
        <v>3</v>
      </c>
      <c r="G21" s="16">
        <f ca="1" t="shared" si="21"/>
        <v>2</v>
      </c>
      <c r="H21" s="16">
        <f ca="1" t="shared" si="22"/>
        <v>3</v>
      </c>
      <c r="I21" s="16"/>
      <c r="J21" s="16">
        <f ca="1" t="shared" si="23"/>
        <v>2</v>
      </c>
      <c r="K21" s="16">
        <f ca="1" t="shared" si="24"/>
        <v>2</v>
      </c>
      <c r="L21" s="16">
        <f ca="1" t="shared" si="25"/>
        <v>2</v>
      </c>
      <c r="M21" s="16">
        <f ca="1" t="shared" si="26"/>
        <v>3</v>
      </c>
      <c r="N21" s="16">
        <f ca="1" t="shared" si="27"/>
        <v>3</v>
      </c>
      <c r="O21" s="16">
        <f ca="1" t="shared" si="28"/>
        <v>1</v>
      </c>
      <c r="P21" s="16">
        <f ca="1" t="shared" si="16"/>
        <v>26</v>
      </c>
    </row>
    <row r="22" ht="20" customHeight="1" spans="1:16">
      <c r="A22" s="16" t="s">
        <v>30</v>
      </c>
      <c r="B22" s="16" t="s">
        <v>31</v>
      </c>
      <c r="C22" s="16">
        <f ca="1" t="shared" si="17"/>
        <v>3</v>
      </c>
      <c r="D22" s="16">
        <f ca="1" t="shared" si="18"/>
        <v>3</v>
      </c>
      <c r="E22" s="16">
        <f ca="1" t="shared" si="19"/>
        <v>3</v>
      </c>
      <c r="F22" s="16">
        <f ca="1" t="shared" si="20"/>
        <v>2</v>
      </c>
      <c r="G22" s="16">
        <f ca="1" t="shared" si="21"/>
        <v>3</v>
      </c>
      <c r="H22" s="16">
        <f ca="1" t="shared" si="22"/>
        <v>3</v>
      </c>
      <c r="I22" s="16"/>
      <c r="J22" s="16">
        <f ca="1" t="shared" si="23"/>
        <v>1</v>
      </c>
      <c r="K22" s="16">
        <f ca="1" t="shared" si="24"/>
        <v>3</v>
      </c>
      <c r="L22" s="16">
        <f ca="1" t="shared" si="25"/>
        <v>3</v>
      </c>
      <c r="M22" s="16">
        <f ca="1" t="shared" si="26"/>
        <v>1</v>
      </c>
      <c r="N22" s="16">
        <f ca="1" t="shared" si="27"/>
        <v>2</v>
      </c>
      <c r="O22" s="16">
        <f ca="1" t="shared" si="28"/>
        <v>2</v>
      </c>
      <c r="P22" s="16">
        <f ca="1" t="shared" si="16"/>
        <v>29</v>
      </c>
    </row>
    <row r="23" ht="20" customHeight="1" spans="1:16">
      <c r="A23" s="16"/>
      <c r="B23" s="16" t="s">
        <v>32</v>
      </c>
      <c r="C23" s="16">
        <f ca="1" t="shared" si="17"/>
        <v>3</v>
      </c>
      <c r="D23" s="16">
        <f ca="1" t="shared" si="18"/>
        <v>3</v>
      </c>
      <c r="E23" s="16">
        <f ca="1" t="shared" si="19"/>
        <v>1</v>
      </c>
      <c r="F23" s="16">
        <f ca="1" t="shared" si="20"/>
        <v>2</v>
      </c>
      <c r="G23" s="16">
        <f ca="1" t="shared" si="21"/>
        <v>1</v>
      </c>
      <c r="H23" s="16">
        <f ca="1" t="shared" si="22"/>
        <v>2</v>
      </c>
      <c r="I23" s="16"/>
      <c r="J23" s="16">
        <f ca="1" t="shared" si="23"/>
        <v>2</v>
      </c>
      <c r="K23" s="16">
        <f ca="1" t="shared" si="24"/>
        <v>1</v>
      </c>
      <c r="L23" s="16">
        <f ca="1" t="shared" si="25"/>
        <v>2</v>
      </c>
      <c r="M23" s="16">
        <f ca="1" t="shared" si="26"/>
        <v>2</v>
      </c>
      <c r="N23" s="16">
        <f ca="1" t="shared" si="27"/>
        <v>3</v>
      </c>
      <c r="O23" s="16">
        <f ca="1" t="shared" si="28"/>
        <v>2</v>
      </c>
      <c r="P23" s="16">
        <f ca="1" t="shared" si="16"/>
        <v>24</v>
      </c>
    </row>
    <row r="24" ht="20" customHeight="1" spans="1:16">
      <c r="A24" s="16"/>
      <c r="B24" s="16" t="s">
        <v>33</v>
      </c>
      <c r="C24" s="16">
        <f ca="1" t="shared" si="17"/>
        <v>3</v>
      </c>
      <c r="D24" s="16">
        <f ca="1" t="shared" si="18"/>
        <v>2</v>
      </c>
      <c r="E24" s="16">
        <f ca="1" t="shared" si="19"/>
        <v>2</v>
      </c>
      <c r="F24" s="16">
        <f ca="1" t="shared" si="20"/>
        <v>2</v>
      </c>
      <c r="G24" s="16">
        <f ca="1" t="shared" si="21"/>
        <v>2</v>
      </c>
      <c r="H24" s="16">
        <f ca="1" t="shared" si="22"/>
        <v>3</v>
      </c>
      <c r="I24" s="16"/>
      <c r="J24" s="16">
        <f ca="1" t="shared" si="23"/>
        <v>3</v>
      </c>
      <c r="K24" s="16">
        <f ca="1" t="shared" si="24"/>
        <v>1</v>
      </c>
      <c r="L24" s="16">
        <f ca="1" t="shared" si="25"/>
        <v>1</v>
      </c>
      <c r="M24" s="16">
        <f ca="1" t="shared" si="26"/>
        <v>1</v>
      </c>
      <c r="N24" s="16">
        <f ca="1" t="shared" si="27"/>
        <v>3</v>
      </c>
      <c r="O24" s="16">
        <f ca="1" t="shared" si="28"/>
        <v>3</v>
      </c>
      <c r="P24" s="16">
        <f ca="1" t="shared" si="16"/>
        <v>26</v>
      </c>
    </row>
    <row r="25" ht="20" customHeight="1" spans="1:16">
      <c r="A25" s="16"/>
      <c r="B25" s="16" t="s">
        <v>34</v>
      </c>
      <c r="C25" s="16">
        <f ca="1" t="shared" si="17"/>
        <v>2</v>
      </c>
      <c r="D25" s="16">
        <f ca="1" t="shared" si="18"/>
        <v>2</v>
      </c>
      <c r="E25" s="16">
        <f ca="1" t="shared" si="19"/>
        <v>3</v>
      </c>
      <c r="F25" s="16">
        <f ca="1" t="shared" si="20"/>
        <v>2</v>
      </c>
      <c r="G25" s="16">
        <f ca="1" t="shared" si="21"/>
        <v>1</v>
      </c>
      <c r="H25" s="16">
        <f ca="1" t="shared" si="22"/>
        <v>3</v>
      </c>
      <c r="I25" s="16"/>
      <c r="J25" s="16">
        <f ca="1" t="shared" si="23"/>
        <v>3</v>
      </c>
      <c r="K25" s="16">
        <f ca="1" t="shared" si="24"/>
        <v>1</v>
      </c>
      <c r="L25" s="16">
        <f ca="1" t="shared" si="25"/>
        <v>2</v>
      </c>
      <c r="M25" s="16">
        <f ca="1" t="shared" si="26"/>
        <v>1</v>
      </c>
      <c r="N25" s="16">
        <f ca="1" t="shared" si="27"/>
        <v>2</v>
      </c>
      <c r="O25" s="16">
        <f ca="1" t="shared" si="28"/>
        <v>2</v>
      </c>
      <c r="P25" s="16">
        <f ca="1" t="shared" si="16"/>
        <v>24</v>
      </c>
    </row>
    <row r="26" ht="20" customHeight="1" spans="1:16">
      <c r="A26" s="16"/>
      <c r="B26" s="16" t="s">
        <v>35</v>
      </c>
      <c r="C26" s="16">
        <f ca="1" t="shared" si="17"/>
        <v>3</v>
      </c>
      <c r="D26" s="16">
        <f ca="1" t="shared" si="18"/>
        <v>1</v>
      </c>
      <c r="E26" s="16">
        <f ca="1" t="shared" si="19"/>
        <v>1</v>
      </c>
      <c r="F26" s="16">
        <f ca="1" t="shared" si="20"/>
        <v>1</v>
      </c>
      <c r="G26" s="16">
        <f ca="1" t="shared" si="21"/>
        <v>3</v>
      </c>
      <c r="H26" s="16">
        <f ca="1" t="shared" si="22"/>
        <v>3</v>
      </c>
      <c r="I26" s="16"/>
      <c r="J26" s="16">
        <f ca="1" t="shared" si="23"/>
        <v>3</v>
      </c>
      <c r="K26" s="16">
        <f ca="1" t="shared" si="24"/>
        <v>1</v>
      </c>
      <c r="L26" s="16">
        <f ca="1" t="shared" si="25"/>
        <v>1</v>
      </c>
      <c r="M26" s="16">
        <f ca="1" t="shared" si="26"/>
        <v>1</v>
      </c>
      <c r="N26" s="16">
        <f ca="1" t="shared" si="27"/>
        <v>1</v>
      </c>
      <c r="O26" s="16">
        <f ca="1" t="shared" si="28"/>
        <v>3</v>
      </c>
      <c r="P26" s="16">
        <f ca="1" t="shared" si="16"/>
        <v>22</v>
      </c>
    </row>
    <row r="27" ht="20" customHeight="1" spans="1:16">
      <c r="A27" s="16"/>
      <c r="B27" s="16" t="s">
        <v>36</v>
      </c>
      <c r="C27" s="16">
        <f ca="1" t="shared" si="17"/>
        <v>3</v>
      </c>
      <c r="D27" s="16">
        <f ca="1" t="shared" si="18"/>
        <v>2</v>
      </c>
      <c r="E27" s="16">
        <f ca="1" t="shared" si="19"/>
        <v>3</v>
      </c>
      <c r="F27" s="16">
        <f ca="1" t="shared" si="20"/>
        <v>3</v>
      </c>
      <c r="G27" s="16">
        <f ca="1" t="shared" si="21"/>
        <v>3</v>
      </c>
      <c r="H27" s="16">
        <f ca="1" t="shared" si="22"/>
        <v>1</v>
      </c>
      <c r="I27" s="16"/>
      <c r="J27" s="16">
        <f ca="1" t="shared" si="23"/>
        <v>3</v>
      </c>
      <c r="K27" s="16">
        <f ca="1" t="shared" si="24"/>
        <v>1</v>
      </c>
      <c r="L27" s="16">
        <f ca="1" t="shared" si="25"/>
        <v>1</v>
      </c>
      <c r="M27" s="16">
        <f ca="1" t="shared" si="26"/>
        <v>3</v>
      </c>
      <c r="N27" s="16">
        <f ca="1" t="shared" si="27"/>
        <v>3</v>
      </c>
      <c r="O27" s="16">
        <f ca="1" t="shared" si="28"/>
        <v>2</v>
      </c>
      <c r="P27" s="16">
        <f ca="1" t="shared" si="16"/>
        <v>28</v>
      </c>
    </row>
    <row r="28" ht="20" customHeight="1" spans="1:16">
      <c r="A28" s="16"/>
      <c r="B28" s="16" t="s">
        <v>37</v>
      </c>
      <c r="C28" s="16">
        <f ca="1" t="shared" ref="C28:C40" si="29">RANDBETWEEN(1,3)</f>
        <v>1</v>
      </c>
      <c r="D28" s="16">
        <f ca="1" t="shared" ref="D28:D40" si="30">RANDBETWEEN(1,3)</f>
        <v>2</v>
      </c>
      <c r="E28" s="16">
        <f ca="1" t="shared" ref="E28:E40" si="31">RANDBETWEEN(1,3)</f>
        <v>3</v>
      </c>
      <c r="F28" s="16">
        <f ca="1" t="shared" ref="F28:F40" si="32">RANDBETWEEN(1,3)</f>
        <v>3</v>
      </c>
      <c r="G28" s="16">
        <f ca="1" t="shared" ref="G28:G40" si="33">RANDBETWEEN(1,3)</f>
        <v>1</v>
      </c>
      <c r="H28" s="16">
        <f ca="1" t="shared" ref="H28:H40" si="34">RANDBETWEEN(1,3)</f>
        <v>2</v>
      </c>
      <c r="I28" s="16"/>
      <c r="J28" s="16">
        <f ca="1" t="shared" ref="J28:J40" si="35">RANDBETWEEN(1,3)</f>
        <v>1</v>
      </c>
      <c r="K28" s="16">
        <f ca="1" t="shared" ref="K28:K40" si="36">RANDBETWEEN(1,3)</f>
        <v>3</v>
      </c>
      <c r="L28" s="16">
        <f ca="1" t="shared" ref="L28:L40" si="37">RANDBETWEEN(1,3)</f>
        <v>2</v>
      </c>
      <c r="M28" s="16">
        <f ca="1" t="shared" ref="M28:M40" si="38">RANDBETWEEN(1,3)</f>
        <v>3</v>
      </c>
      <c r="N28" s="16">
        <f ca="1" t="shared" ref="N28:N40" si="39">RANDBETWEEN(1,3)</f>
        <v>3</v>
      </c>
      <c r="O28" s="16">
        <f ca="1" t="shared" ref="O28:O40" si="40">RANDBETWEEN(1,3)</f>
        <v>2</v>
      </c>
      <c r="P28" s="16">
        <f ca="1" t="shared" si="16"/>
        <v>26</v>
      </c>
    </row>
    <row r="29" ht="20" customHeight="1" spans="1:16">
      <c r="A29" s="16"/>
      <c r="B29" s="16" t="s">
        <v>38</v>
      </c>
      <c r="C29" s="16">
        <f ca="1" t="shared" si="29"/>
        <v>2</v>
      </c>
      <c r="D29" s="16">
        <f ca="1" t="shared" si="30"/>
        <v>3</v>
      </c>
      <c r="E29" s="16">
        <f ca="1" t="shared" si="31"/>
        <v>2</v>
      </c>
      <c r="F29" s="16">
        <f ca="1" t="shared" si="32"/>
        <v>1</v>
      </c>
      <c r="G29" s="16">
        <f ca="1" t="shared" si="33"/>
        <v>2</v>
      </c>
      <c r="H29" s="16">
        <f ca="1" t="shared" si="34"/>
        <v>2</v>
      </c>
      <c r="I29" s="16"/>
      <c r="J29" s="16">
        <f ca="1" t="shared" si="35"/>
        <v>1</v>
      </c>
      <c r="K29" s="16">
        <f ca="1" t="shared" si="36"/>
        <v>2</v>
      </c>
      <c r="L29" s="16">
        <f ca="1" t="shared" si="37"/>
        <v>1</v>
      </c>
      <c r="M29" s="16">
        <f ca="1" t="shared" si="38"/>
        <v>3</v>
      </c>
      <c r="N29" s="16">
        <f ca="1" t="shared" si="39"/>
        <v>1</v>
      </c>
      <c r="O29" s="16">
        <f ca="1" t="shared" si="40"/>
        <v>3</v>
      </c>
      <c r="P29" s="16">
        <f ca="1" t="shared" si="16"/>
        <v>23</v>
      </c>
    </row>
    <row r="30" ht="20" customHeight="1" spans="1:16">
      <c r="A30" s="16" t="s">
        <v>39</v>
      </c>
      <c r="B30" s="16" t="s">
        <v>40</v>
      </c>
      <c r="C30" s="16">
        <f ca="1" t="shared" si="29"/>
        <v>3</v>
      </c>
      <c r="D30" s="16">
        <f ca="1" t="shared" si="30"/>
        <v>1</v>
      </c>
      <c r="E30" s="16">
        <f ca="1" t="shared" si="31"/>
        <v>2</v>
      </c>
      <c r="F30" s="16">
        <f ca="1" t="shared" si="32"/>
        <v>3</v>
      </c>
      <c r="G30" s="16">
        <f ca="1" t="shared" si="33"/>
        <v>3</v>
      </c>
      <c r="H30" s="16">
        <f ca="1" t="shared" si="34"/>
        <v>2</v>
      </c>
      <c r="I30" s="16"/>
      <c r="J30" s="16">
        <f ca="1" t="shared" si="35"/>
        <v>3</v>
      </c>
      <c r="K30" s="16">
        <f ca="1" t="shared" si="36"/>
        <v>2</v>
      </c>
      <c r="L30" s="16">
        <f ca="1" t="shared" si="37"/>
        <v>1</v>
      </c>
      <c r="M30" s="16">
        <f ca="1" t="shared" si="38"/>
        <v>2</v>
      </c>
      <c r="N30" s="16">
        <f ca="1" t="shared" si="39"/>
        <v>1</v>
      </c>
      <c r="O30" s="16">
        <f ca="1" t="shared" si="40"/>
        <v>1</v>
      </c>
      <c r="P30" s="16">
        <f ca="1" t="shared" si="16"/>
        <v>24</v>
      </c>
    </row>
    <row r="31" ht="20" customHeight="1" spans="1:16">
      <c r="A31" s="16"/>
      <c r="B31" s="16" t="s">
        <v>41</v>
      </c>
      <c r="C31" s="16">
        <f ca="1" t="shared" si="29"/>
        <v>1</v>
      </c>
      <c r="D31" s="16">
        <f ca="1" t="shared" si="30"/>
        <v>1</v>
      </c>
      <c r="E31" s="16">
        <f ca="1" t="shared" si="31"/>
        <v>1</v>
      </c>
      <c r="F31" s="16">
        <f ca="1" t="shared" si="32"/>
        <v>2</v>
      </c>
      <c r="G31" s="16">
        <f ca="1" t="shared" si="33"/>
        <v>1</v>
      </c>
      <c r="H31" s="16">
        <f ca="1" t="shared" si="34"/>
        <v>2</v>
      </c>
      <c r="I31" s="16"/>
      <c r="J31" s="16">
        <f ca="1" t="shared" si="35"/>
        <v>2</v>
      </c>
      <c r="K31" s="16">
        <f ca="1" t="shared" si="36"/>
        <v>1</v>
      </c>
      <c r="L31" s="16">
        <f ca="1" t="shared" si="37"/>
        <v>1</v>
      </c>
      <c r="M31" s="16">
        <f ca="1" t="shared" si="38"/>
        <v>2</v>
      </c>
      <c r="N31" s="16">
        <f ca="1" t="shared" si="39"/>
        <v>1</v>
      </c>
      <c r="O31" s="16">
        <f ca="1" t="shared" si="40"/>
        <v>3</v>
      </c>
      <c r="P31" s="16">
        <f ca="1" t="shared" si="16"/>
        <v>18</v>
      </c>
    </row>
    <row r="32" ht="20" customHeight="1" spans="1:16">
      <c r="A32" s="16"/>
      <c r="B32" s="16" t="s">
        <v>42</v>
      </c>
      <c r="C32" s="16">
        <f ca="1" t="shared" si="29"/>
        <v>3</v>
      </c>
      <c r="D32" s="16">
        <f ca="1" t="shared" si="30"/>
        <v>1</v>
      </c>
      <c r="E32" s="16">
        <f ca="1" t="shared" si="31"/>
        <v>3</v>
      </c>
      <c r="F32" s="16">
        <f ca="1" t="shared" si="32"/>
        <v>3</v>
      </c>
      <c r="G32" s="16">
        <f ca="1" t="shared" si="33"/>
        <v>2</v>
      </c>
      <c r="H32" s="16">
        <f ca="1" t="shared" si="34"/>
        <v>3</v>
      </c>
      <c r="I32" s="16"/>
      <c r="J32" s="16">
        <f ca="1" t="shared" si="35"/>
        <v>1</v>
      </c>
      <c r="K32" s="16">
        <f ca="1" t="shared" si="36"/>
        <v>3</v>
      </c>
      <c r="L32" s="16">
        <f ca="1" t="shared" si="37"/>
        <v>3</v>
      </c>
      <c r="M32" s="16">
        <f ca="1" t="shared" si="38"/>
        <v>1</v>
      </c>
      <c r="N32" s="16">
        <f ca="1" t="shared" si="39"/>
        <v>3</v>
      </c>
      <c r="O32" s="16">
        <f ca="1" t="shared" si="40"/>
        <v>1</v>
      </c>
      <c r="P32" s="16">
        <f ca="1" t="shared" si="16"/>
        <v>27</v>
      </c>
    </row>
    <row r="33" ht="20" customHeight="1" spans="1:16">
      <c r="A33" s="16"/>
      <c r="B33" s="16" t="s">
        <v>43</v>
      </c>
      <c r="C33" s="16">
        <f ca="1" t="shared" si="29"/>
        <v>1</v>
      </c>
      <c r="D33" s="16">
        <f ca="1" t="shared" si="30"/>
        <v>3</v>
      </c>
      <c r="E33" s="16">
        <f ca="1" t="shared" si="31"/>
        <v>2</v>
      </c>
      <c r="F33" s="16">
        <f ca="1" t="shared" si="32"/>
        <v>2</v>
      </c>
      <c r="G33" s="16">
        <f ca="1" t="shared" si="33"/>
        <v>2</v>
      </c>
      <c r="H33" s="16">
        <f ca="1" t="shared" si="34"/>
        <v>1</v>
      </c>
      <c r="I33" s="16"/>
      <c r="J33" s="16">
        <f ca="1" t="shared" si="35"/>
        <v>2</v>
      </c>
      <c r="K33" s="16">
        <f ca="1" t="shared" si="36"/>
        <v>2</v>
      </c>
      <c r="L33" s="16">
        <f ca="1" t="shared" si="37"/>
        <v>2</v>
      </c>
      <c r="M33" s="16">
        <f ca="1" t="shared" si="38"/>
        <v>2</v>
      </c>
      <c r="N33" s="16">
        <f ca="1" t="shared" si="39"/>
        <v>2</v>
      </c>
      <c r="O33" s="16">
        <f ca="1" t="shared" si="40"/>
        <v>3</v>
      </c>
      <c r="P33" s="16">
        <f ca="1" t="shared" si="16"/>
        <v>24</v>
      </c>
    </row>
    <row r="34" ht="20" customHeight="1" spans="1:16">
      <c r="A34" s="16"/>
      <c r="B34" s="16" t="s">
        <v>44</v>
      </c>
      <c r="C34" s="16">
        <f ca="1" t="shared" si="29"/>
        <v>2</v>
      </c>
      <c r="D34" s="16">
        <f ca="1" t="shared" si="30"/>
        <v>1</v>
      </c>
      <c r="E34" s="16">
        <f ca="1" t="shared" si="31"/>
        <v>3</v>
      </c>
      <c r="F34" s="16">
        <f ca="1" t="shared" si="32"/>
        <v>3</v>
      </c>
      <c r="G34" s="16">
        <f ca="1" t="shared" si="33"/>
        <v>1</v>
      </c>
      <c r="H34" s="16">
        <f ca="1" t="shared" si="34"/>
        <v>1</v>
      </c>
      <c r="I34" s="16"/>
      <c r="J34" s="16">
        <f ca="1" t="shared" si="35"/>
        <v>2</v>
      </c>
      <c r="K34" s="16">
        <f ca="1" t="shared" si="36"/>
        <v>3</v>
      </c>
      <c r="L34" s="16">
        <f ca="1" t="shared" si="37"/>
        <v>1</v>
      </c>
      <c r="M34" s="16">
        <f ca="1" t="shared" si="38"/>
        <v>2</v>
      </c>
      <c r="N34" s="16">
        <f ca="1" t="shared" si="39"/>
        <v>2</v>
      </c>
      <c r="O34" s="16">
        <f ca="1" t="shared" si="40"/>
        <v>2</v>
      </c>
      <c r="P34" s="16">
        <f ca="1" t="shared" si="16"/>
        <v>23</v>
      </c>
    </row>
    <row r="35" ht="20" customHeight="1" spans="1:16">
      <c r="A35" s="16"/>
      <c r="B35" s="16" t="s">
        <v>45</v>
      </c>
      <c r="C35" s="16">
        <f ca="1" t="shared" si="29"/>
        <v>2</v>
      </c>
      <c r="D35" s="16">
        <f ca="1" t="shared" si="30"/>
        <v>1</v>
      </c>
      <c r="E35" s="16">
        <f ca="1" t="shared" si="31"/>
        <v>3</v>
      </c>
      <c r="F35" s="16">
        <f ca="1" t="shared" si="32"/>
        <v>2</v>
      </c>
      <c r="G35" s="16">
        <f ca="1" t="shared" si="33"/>
        <v>2</v>
      </c>
      <c r="H35" s="16">
        <f ca="1" t="shared" si="34"/>
        <v>1</v>
      </c>
      <c r="I35" s="16"/>
      <c r="J35" s="16">
        <f ca="1" t="shared" si="35"/>
        <v>1</v>
      </c>
      <c r="K35" s="16">
        <f ca="1" t="shared" si="36"/>
        <v>2</v>
      </c>
      <c r="L35" s="16">
        <f ca="1" t="shared" si="37"/>
        <v>2</v>
      </c>
      <c r="M35" s="16">
        <f ca="1" t="shared" si="38"/>
        <v>3</v>
      </c>
      <c r="N35" s="16">
        <f ca="1" t="shared" si="39"/>
        <v>3</v>
      </c>
      <c r="O35" s="16">
        <f ca="1" t="shared" si="40"/>
        <v>3</v>
      </c>
      <c r="P35" s="16">
        <f ca="1" t="shared" si="16"/>
        <v>25</v>
      </c>
    </row>
    <row r="36" ht="20" customHeight="1" spans="1:16">
      <c r="A36" s="16"/>
      <c r="B36" s="16" t="s">
        <v>46</v>
      </c>
      <c r="C36" s="16">
        <f ca="1" t="shared" si="29"/>
        <v>3</v>
      </c>
      <c r="D36" s="16">
        <f ca="1" t="shared" si="30"/>
        <v>3</v>
      </c>
      <c r="E36" s="16">
        <f ca="1" t="shared" si="31"/>
        <v>3</v>
      </c>
      <c r="F36" s="16">
        <f ca="1" t="shared" si="32"/>
        <v>3</v>
      </c>
      <c r="G36" s="16">
        <f ca="1" t="shared" si="33"/>
        <v>3</v>
      </c>
      <c r="H36" s="16">
        <f ca="1" t="shared" si="34"/>
        <v>1</v>
      </c>
      <c r="I36" s="16"/>
      <c r="J36" s="16">
        <f ca="1" t="shared" si="35"/>
        <v>2</v>
      </c>
      <c r="K36" s="16">
        <f ca="1" t="shared" si="36"/>
        <v>2</v>
      </c>
      <c r="L36" s="16">
        <f ca="1" t="shared" si="37"/>
        <v>1</v>
      </c>
      <c r="M36" s="16">
        <f ca="1" t="shared" si="38"/>
        <v>2</v>
      </c>
      <c r="N36" s="16">
        <f ca="1" t="shared" si="39"/>
        <v>2</v>
      </c>
      <c r="O36" s="16">
        <f ca="1" t="shared" si="40"/>
        <v>1</v>
      </c>
      <c r="P36" s="16">
        <f ca="1" t="shared" si="16"/>
        <v>26</v>
      </c>
    </row>
    <row r="37" ht="20" customHeight="1" spans="1:16">
      <c r="A37" s="16"/>
      <c r="B37" s="16" t="s">
        <v>47</v>
      </c>
      <c r="C37" s="16">
        <f ca="1" t="shared" si="29"/>
        <v>3</v>
      </c>
      <c r="D37" s="16">
        <f ca="1" t="shared" si="30"/>
        <v>2</v>
      </c>
      <c r="E37" s="16">
        <f ca="1" t="shared" si="31"/>
        <v>1</v>
      </c>
      <c r="F37" s="16">
        <f ca="1" t="shared" si="32"/>
        <v>3</v>
      </c>
      <c r="G37" s="16">
        <f ca="1" t="shared" si="33"/>
        <v>2</v>
      </c>
      <c r="H37" s="16">
        <f ca="1" t="shared" si="34"/>
        <v>1</v>
      </c>
      <c r="I37" s="16"/>
      <c r="J37" s="16">
        <f ca="1" t="shared" si="35"/>
        <v>1</v>
      </c>
      <c r="K37" s="16">
        <f ca="1" t="shared" si="36"/>
        <v>3</v>
      </c>
      <c r="L37" s="16">
        <f ca="1" t="shared" si="37"/>
        <v>1</v>
      </c>
      <c r="M37" s="16">
        <f ca="1" t="shared" si="38"/>
        <v>2</v>
      </c>
      <c r="N37" s="16">
        <f ca="1" t="shared" si="39"/>
        <v>1</v>
      </c>
      <c r="O37" s="16">
        <f ca="1" t="shared" si="40"/>
        <v>2</v>
      </c>
      <c r="P37" s="16">
        <f ca="1" t="shared" si="16"/>
        <v>22</v>
      </c>
    </row>
    <row r="38" ht="20" customHeight="1" spans="1:16">
      <c r="A38" s="16" t="s">
        <v>48</v>
      </c>
      <c r="B38" s="16" t="s">
        <v>49</v>
      </c>
      <c r="C38" s="16">
        <f ca="1" t="shared" si="29"/>
        <v>3</v>
      </c>
      <c r="D38" s="16">
        <f ca="1" t="shared" si="30"/>
        <v>2</v>
      </c>
      <c r="E38" s="16">
        <f ca="1" t="shared" si="31"/>
        <v>2</v>
      </c>
      <c r="F38" s="16">
        <f ca="1" t="shared" si="32"/>
        <v>3</v>
      </c>
      <c r="G38" s="16">
        <f ca="1" t="shared" si="33"/>
        <v>1</v>
      </c>
      <c r="H38" s="16">
        <f ca="1" t="shared" si="34"/>
        <v>1</v>
      </c>
      <c r="I38" s="16"/>
      <c r="J38" s="16">
        <f ca="1" t="shared" si="35"/>
        <v>1</v>
      </c>
      <c r="K38" s="16">
        <f ca="1" t="shared" si="36"/>
        <v>2</v>
      </c>
      <c r="L38" s="16">
        <f ca="1" t="shared" si="37"/>
        <v>3</v>
      </c>
      <c r="M38" s="16">
        <f ca="1" t="shared" si="38"/>
        <v>3</v>
      </c>
      <c r="N38" s="16">
        <f ca="1" t="shared" si="39"/>
        <v>2</v>
      </c>
      <c r="O38" s="16">
        <f ca="1" t="shared" si="40"/>
        <v>1</v>
      </c>
      <c r="P38" s="16">
        <f ca="1" t="shared" si="16"/>
        <v>24</v>
      </c>
    </row>
    <row r="39" ht="20" customHeight="1" spans="1:16">
      <c r="A39" s="16"/>
      <c r="B39" s="16" t="s">
        <v>50</v>
      </c>
      <c r="C39" s="16">
        <f ca="1" t="shared" si="29"/>
        <v>3</v>
      </c>
      <c r="D39" s="16">
        <f ca="1" t="shared" si="30"/>
        <v>1</v>
      </c>
      <c r="E39" s="16">
        <f ca="1" t="shared" si="31"/>
        <v>1</v>
      </c>
      <c r="F39" s="16">
        <f ca="1" t="shared" si="32"/>
        <v>1</v>
      </c>
      <c r="G39" s="16">
        <f ca="1" t="shared" si="33"/>
        <v>2</v>
      </c>
      <c r="H39" s="16">
        <f ca="1" t="shared" si="34"/>
        <v>2</v>
      </c>
      <c r="I39" s="16"/>
      <c r="J39" s="16">
        <f ca="1" t="shared" si="35"/>
        <v>3</v>
      </c>
      <c r="K39" s="16">
        <f ca="1" t="shared" si="36"/>
        <v>3</v>
      </c>
      <c r="L39" s="16">
        <f ca="1" t="shared" si="37"/>
        <v>1</v>
      </c>
      <c r="M39" s="16">
        <f ca="1" t="shared" si="38"/>
        <v>2</v>
      </c>
      <c r="N39" s="16">
        <f ca="1" t="shared" si="39"/>
        <v>2</v>
      </c>
      <c r="O39" s="16">
        <f ca="1" t="shared" si="40"/>
        <v>1</v>
      </c>
      <c r="P39" s="16">
        <f ca="1" t="shared" si="16"/>
        <v>22</v>
      </c>
    </row>
    <row r="40" ht="20" customHeight="1" spans="1:16">
      <c r="A40" s="16"/>
      <c r="B40" s="16" t="s">
        <v>51</v>
      </c>
      <c r="C40" s="16">
        <f ca="1" t="shared" si="29"/>
        <v>2</v>
      </c>
      <c r="D40" s="16">
        <f ca="1" t="shared" si="30"/>
        <v>1</v>
      </c>
      <c r="E40" s="16">
        <f ca="1" t="shared" si="31"/>
        <v>1</v>
      </c>
      <c r="F40" s="16">
        <f ca="1" t="shared" si="32"/>
        <v>2</v>
      </c>
      <c r="G40" s="16">
        <f ca="1" t="shared" si="33"/>
        <v>1</v>
      </c>
      <c r="H40" s="16">
        <f ca="1" t="shared" si="34"/>
        <v>2</v>
      </c>
      <c r="I40" s="16"/>
      <c r="J40" s="16">
        <f ca="1" t="shared" si="35"/>
        <v>2</v>
      </c>
      <c r="K40" s="16">
        <f ca="1" t="shared" si="36"/>
        <v>1</v>
      </c>
      <c r="L40" s="16">
        <f ca="1" t="shared" si="37"/>
        <v>1</v>
      </c>
      <c r="M40" s="16">
        <f ca="1" t="shared" si="38"/>
        <v>3</v>
      </c>
      <c r="N40" s="16">
        <f ca="1" t="shared" si="39"/>
        <v>2</v>
      </c>
      <c r="O40" s="16">
        <f ca="1" t="shared" si="40"/>
        <v>2</v>
      </c>
      <c r="P40" s="16">
        <f ca="1" t="shared" si="16"/>
        <v>20</v>
      </c>
    </row>
  </sheetData>
  <mergeCells count="10">
    <mergeCell ref="C1:H1"/>
    <mergeCell ref="J1:O1"/>
    <mergeCell ref="A7:A8"/>
    <mergeCell ref="A9:A12"/>
    <mergeCell ref="A13:A15"/>
    <mergeCell ref="A16:A21"/>
    <mergeCell ref="A22:A29"/>
    <mergeCell ref="A30:A37"/>
    <mergeCell ref="A38:A40"/>
    <mergeCell ref="Q5:S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"/>
  <sheetViews>
    <sheetView workbookViewId="0">
      <selection activeCell="A4" sqref="A4:A70"/>
    </sheetView>
  </sheetViews>
  <sheetFormatPr defaultColWidth="9" defaultRowHeight="13.5"/>
  <cols>
    <col min="1" max="1" width="9.69911504424779" customWidth="1"/>
    <col min="2" max="2" width="7.50442477876106" customWidth="1"/>
    <col min="3" max="8" width="6.64601769911504" customWidth="1"/>
    <col min="9" max="9" width="3.06194690265487" customWidth="1"/>
    <col min="10" max="15" width="6.64601769911504" customWidth="1"/>
  </cols>
  <sheetData>
    <row r="1" spans="1:15">
      <c r="A1" s="1">
        <f ca="1">TODAY()</f>
        <v>44728</v>
      </c>
      <c r="B1" s="1"/>
      <c r="C1" s="2" t="str">
        <f>配货表!C1</f>
        <v>221122白色</v>
      </c>
      <c r="D1" s="3"/>
      <c r="E1" s="3"/>
      <c r="F1" s="3"/>
      <c r="G1" s="3"/>
      <c r="H1" s="4"/>
      <c r="I1" s="6"/>
      <c r="J1" s="2" t="str">
        <f>配货表!J1</f>
        <v>221122黑色</v>
      </c>
      <c r="K1" s="3"/>
      <c r="L1" s="3"/>
      <c r="M1" s="3"/>
      <c r="N1" s="3"/>
      <c r="O1" s="4"/>
    </row>
    <row r="2" ht="20.25" spans="1:15">
      <c r="A2" s="1"/>
      <c r="B2" s="1"/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14"/>
      <c r="J2" s="5" t="s">
        <v>3</v>
      </c>
      <c r="K2" s="5" t="s">
        <v>4</v>
      </c>
      <c r="L2" s="5" t="s">
        <v>5</v>
      </c>
      <c r="M2" s="5" t="s">
        <v>6</v>
      </c>
      <c r="N2" s="5" t="s">
        <v>7</v>
      </c>
      <c r="O2" s="5" t="s">
        <v>8</v>
      </c>
    </row>
    <row r="3" ht="23.25" hidden="1" spans="1:15">
      <c r="A3" s="6"/>
      <c r="B3" s="7" t="s">
        <v>9</v>
      </c>
      <c r="C3" s="8">
        <f>配货表!C3</f>
        <v>0</v>
      </c>
      <c r="D3" s="8">
        <f>配货表!D3</f>
        <v>0</v>
      </c>
      <c r="E3" s="8">
        <f>配货表!E3</f>
        <v>0</v>
      </c>
      <c r="F3" s="8">
        <f>配货表!F3</f>
        <v>0</v>
      </c>
      <c r="G3" s="8">
        <f>配货表!G3</f>
        <v>0</v>
      </c>
      <c r="H3" s="8">
        <f>配货表!H3</f>
        <v>0</v>
      </c>
      <c r="I3" s="8"/>
      <c r="J3" s="8">
        <f>配货表!J3</f>
        <v>0</v>
      </c>
      <c r="K3" s="8">
        <f>配货表!K3</f>
        <v>0</v>
      </c>
      <c r="L3" s="8">
        <f>配货表!L3</f>
        <v>0</v>
      </c>
      <c r="M3" s="8">
        <f>配货表!M3</f>
        <v>0</v>
      </c>
      <c r="N3" s="8">
        <f>配货表!N3</f>
        <v>0</v>
      </c>
      <c r="O3" s="8">
        <f>配货表!O3</f>
        <v>0</v>
      </c>
    </row>
    <row r="4" ht="31.5" customHeight="1" spans="1:15">
      <c r="A4" s="9">
        <f ca="1" t="shared" ref="A4:A8" si="0">SUM(C4:O4)</f>
        <v>20</v>
      </c>
      <c r="B4" s="10" t="str">
        <f>配货表!B7</f>
        <v>兴义一</v>
      </c>
      <c r="C4" s="11">
        <f ca="1">配货表!C7</f>
        <v>2</v>
      </c>
      <c r="D4" s="11">
        <f ca="1">配货表!D7</f>
        <v>2</v>
      </c>
      <c r="E4" s="11">
        <f ca="1">配货表!E7</f>
        <v>3</v>
      </c>
      <c r="F4" s="11">
        <f ca="1">配货表!F7</f>
        <v>2</v>
      </c>
      <c r="G4" s="11">
        <f ca="1">配货表!G7</f>
        <v>1</v>
      </c>
      <c r="H4" s="11">
        <f ca="1">配货表!H7</f>
        <v>2</v>
      </c>
      <c r="I4" s="11"/>
      <c r="J4" s="11">
        <f ca="1">配货表!J7</f>
        <v>1</v>
      </c>
      <c r="K4" s="11">
        <f ca="1">配货表!K7</f>
        <v>1</v>
      </c>
      <c r="L4" s="11">
        <f ca="1">配货表!L7</f>
        <v>2</v>
      </c>
      <c r="M4" s="11">
        <f ca="1">配货表!M7</f>
        <v>1</v>
      </c>
      <c r="N4" s="11">
        <f ca="1">配货表!N7</f>
        <v>1</v>
      </c>
      <c r="O4" s="11">
        <f ca="1">配货表!O7</f>
        <v>2</v>
      </c>
    </row>
    <row r="5" ht="6" customHeight="1" spans="1:15">
      <c r="A5" s="9"/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ht="31.5" customHeight="1" spans="1:15">
      <c r="A6" s="9">
        <f ca="1" t="shared" si="0"/>
        <v>25</v>
      </c>
      <c r="B6" s="12" t="str">
        <f>配货表!B8</f>
        <v>铜仁</v>
      </c>
      <c r="C6" s="13">
        <f ca="1">配货表!C8</f>
        <v>1</v>
      </c>
      <c r="D6" s="13">
        <f ca="1">配货表!D8</f>
        <v>1</v>
      </c>
      <c r="E6" s="13">
        <f ca="1">配货表!E8</f>
        <v>3</v>
      </c>
      <c r="F6" s="13">
        <f ca="1">配货表!F8</f>
        <v>1</v>
      </c>
      <c r="G6" s="13">
        <f ca="1">配货表!G8</f>
        <v>3</v>
      </c>
      <c r="H6" s="13">
        <f ca="1">配货表!H8</f>
        <v>3</v>
      </c>
      <c r="I6" s="13"/>
      <c r="J6" s="13">
        <f ca="1">配货表!J8</f>
        <v>3</v>
      </c>
      <c r="K6" s="13">
        <f ca="1">配货表!K8</f>
        <v>1</v>
      </c>
      <c r="L6" s="13">
        <f ca="1">配货表!L8</f>
        <v>1</v>
      </c>
      <c r="M6" s="13">
        <f ca="1">配货表!M8</f>
        <v>3</v>
      </c>
      <c r="N6" s="13">
        <f ca="1">配货表!N8</f>
        <v>3</v>
      </c>
      <c r="O6" s="13">
        <f ca="1">配货表!O8</f>
        <v>2</v>
      </c>
    </row>
    <row r="7" ht="6" customHeight="1" spans="1:15">
      <c r="A7" s="9"/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31.5" customHeight="1" spans="1:15">
      <c r="A8" s="9">
        <f ca="1" t="shared" si="0"/>
        <v>25</v>
      </c>
      <c r="B8" s="10" t="str">
        <f>配货表!B9</f>
        <v>新华路</v>
      </c>
      <c r="C8" s="11">
        <f ca="1">配货表!C9</f>
        <v>3</v>
      </c>
      <c r="D8" s="11">
        <f ca="1">配货表!D9</f>
        <v>1</v>
      </c>
      <c r="E8" s="11">
        <f ca="1">配货表!E9</f>
        <v>3</v>
      </c>
      <c r="F8" s="11">
        <f ca="1">配货表!F9</f>
        <v>2</v>
      </c>
      <c r="G8" s="11">
        <f ca="1">配货表!G9</f>
        <v>3</v>
      </c>
      <c r="H8" s="11">
        <f ca="1">配货表!H9</f>
        <v>3</v>
      </c>
      <c r="I8" s="11"/>
      <c r="J8" s="11">
        <f ca="1">配货表!J9</f>
        <v>2</v>
      </c>
      <c r="K8" s="11">
        <f ca="1">配货表!K9</f>
        <v>2</v>
      </c>
      <c r="L8" s="11">
        <f ca="1">配货表!L9</f>
        <v>1</v>
      </c>
      <c r="M8" s="11">
        <f ca="1">配货表!M9</f>
        <v>2</v>
      </c>
      <c r="N8" s="11">
        <f ca="1">配货表!N9</f>
        <v>1</v>
      </c>
      <c r="O8" s="11">
        <f ca="1">配货表!O9</f>
        <v>2</v>
      </c>
    </row>
    <row r="9" ht="6" customHeight="1" spans="1:15">
      <c r="A9" s="9"/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31.5" customHeight="1" spans="1:15">
      <c r="A10" s="9">
        <f ca="1" t="shared" ref="A10:A14" si="1">SUM(C10:O10)</f>
        <v>26</v>
      </c>
      <c r="B10" s="12" t="str">
        <f>配货表!B10</f>
        <v>兴义二</v>
      </c>
      <c r="C10" s="13">
        <f ca="1">配货表!C10</f>
        <v>1</v>
      </c>
      <c r="D10" s="13">
        <f ca="1">配货表!D10</f>
        <v>2</v>
      </c>
      <c r="E10" s="13">
        <f ca="1">配货表!E10</f>
        <v>2</v>
      </c>
      <c r="F10" s="13">
        <f ca="1">配货表!F10</f>
        <v>2</v>
      </c>
      <c r="G10" s="13">
        <f ca="1">配货表!G10</f>
        <v>3</v>
      </c>
      <c r="H10" s="13">
        <f ca="1">配货表!H10</f>
        <v>2</v>
      </c>
      <c r="I10" s="13"/>
      <c r="J10" s="13">
        <f ca="1">配货表!J10</f>
        <v>3</v>
      </c>
      <c r="K10" s="13">
        <f ca="1">配货表!K10</f>
        <v>3</v>
      </c>
      <c r="L10" s="13">
        <f ca="1">配货表!L10</f>
        <v>1</v>
      </c>
      <c r="M10" s="13">
        <f ca="1">配货表!M10</f>
        <v>3</v>
      </c>
      <c r="N10" s="13">
        <f ca="1">配货表!N10</f>
        <v>2</v>
      </c>
      <c r="O10" s="13">
        <f ca="1">配货表!O10</f>
        <v>2</v>
      </c>
    </row>
    <row r="11" ht="6" customHeight="1" spans="1:15">
      <c r="A11" s="9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31.5" customHeight="1" spans="1:15">
      <c r="A12" s="9">
        <f ca="1" t="shared" si="1"/>
        <v>24</v>
      </c>
      <c r="B12" s="10" t="str">
        <f>配货表!B11</f>
        <v>德江</v>
      </c>
      <c r="C12" s="11">
        <f ca="1">配货表!C11</f>
        <v>2</v>
      </c>
      <c r="D12" s="11">
        <f ca="1">配货表!D11</f>
        <v>3</v>
      </c>
      <c r="E12" s="11">
        <f ca="1">配货表!E11</f>
        <v>1</v>
      </c>
      <c r="F12" s="11">
        <f ca="1">配货表!F11</f>
        <v>3</v>
      </c>
      <c r="G12" s="11">
        <f ca="1">配货表!G11</f>
        <v>1</v>
      </c>
      <c r="H12" s="11">
        <f ca="1">配货表!H11</f>
        <v>2</v>
      </c>
      <c r="I12" s="11"/>
      <c r="J12" s="11">
        <f ca="1">配货表!J11</f>
        <v>3</v>
      </c>
      <c r="K12" s="11">
        <f ca="1">配货表!K11</f>
        <v>3</v>
      </c>
      <c r="L12" s="11">
        <f ca="1">配货表!L11</f>
        <v>3</v>
      </c>
      <c r="M12" s="11">
        <f ca="1">配货表!M11</f>
        <v>1</v>
      </c>
      <c r="N12" s="11">
        <f ca="1">配货表!N11</f>
        <v>1</v>
      </c>
      <c r="O12" s="11">
        <f ca="1">配货表!O11</f>
        <v>1</v>
      </c>
    </row>
    <row r="13" ht="6" customHeight="1" spans="1:15">
      <c r="A13" s="9"/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31.5" customHeight="1" spans="1:15">
      <c r="A14" s="9">
        <f ca="1" t="shared" si="1"/>
        <v>22</v>
      </c>
      <c r="B14" s="12" t="str">
        <f>配货表!B12</f>
        <v>花二</v>
      </c>
      <c r="C14" s="13">
        <f ca="1">配货表!C12</f>
        <v>2</v>
      </c>
      <c r="D14" s="13">
        <f ca="1">配货表!D12</f>
        <v>2</v>
      </c>
      <c r="E14" s="13">
        <f ca="1">配货表!E12</f>
        <v>3</v>
      </c>
      <c r="F14" s="13">
        <f ca="1">配货表!F12</f>
        <v>1</v>
      </c>
      <c r="G14" s="13">
        <f ca="1">配货表!G12</f>
        <v>1</v>
      </c>
      <c r="H14" s="13">
        <f ca="1">配货表!H12</f>
        <v>2</v>
      </c>
      <c r="I14" s="13"/>
      <c r="J14" s="13">
        <f ca="1">配货表!J12</f>
        <v>1</v>
      </c>
      <c r="K14" s="13">
        <f ca="1">配货表!K12</f>
        <v>3</v>
      </c>
      <c r="L14" s="13">
        <f ca="1">配货表!L12</f>
        <v>2</v>
      </c>
      <c r="M14" s="13">
        <f ca="1">配货表!M12</f>
        <v>1</v>
      </c>
      <c r="N14" s="13">
        <f ca="1">配货表!N12</f>
        <v>1</v>
      </c>
      <c r="O14" s="13">
        <f ca="1">配货表!O12</f>
        <v>3</v>
      </c>
    </row>
    <row r="15" ht="6" customHeight="1" spans="1:15">
      <c r="A15" s="9"/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31.5" customHeight="1" spans="1:15">
      <c r="A16" s="9">
        <f ca="1" t="shared" ref="A16:A20" si="2">SUM(C16:O16)</f>
        <v>21</v>
      </c>
      <c r="B16" s="10" t="str">
        <f>配货表!B13</f>
        <v>安龙一</v>
      </c>
      <c r="C16" s="11">
        <f ca="1">配货表!C13</f>
        <v>1</v>
      </c>
      <c r="D16" s="11">
        <f ca="1">配货表!D13</f>
        <v>1</v>
      </c>
      <c r="E16" s="11">
        <f ca="1">配货表!E13</f>
        <v>1</v>
      </c>
      <c r="F16" s="11">
        <f ca="1">配货表!F13</f>
        <v>2</v>
      </c>
      <c r="G16" s="11">
        <f ca="1">配货表!G13</f>
        <v>1</v>
      </c>
      <c r="H16" s="11">
        <f ca="1">配货表!H13</f>
        <v>2</v>
      </c>
      <c r="I16" s="11"/>
      <c r="J16" s="11">
        <f ca="1">配货表!J13</f>
        <v>2</v>
      </c>
      <c r="K16" s="11">
        <f ca="1">配货表!K13</f>
        <v>3</v>
      </c>
      <c r="L16" s="11">
        <f ca="1">配货表!L13</f>
        <v>3</v>
      </c>
      <c r="M16" s="11">
        <f ca="1">配货表!M13</f>
        <v>1</v>
      </c>
      <c r="N16" s="11">
        <f ca="1">配货表!N13</f>
        <v>1</v>
      </c>
      <c r="O16" s="11">
        <f ca="1">配货表!O13</f>
        <v>3</v>
      </c>
    </row>
    <row r="17" ht="6" customHeight="1" spans="1:15">
      <c r="A17" s="9"/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31.5" customHeight="1" spans="1:15">
      <c r="A18" s="9">
        <f ca="1" t="shared" si="2"/>
        <v>20</v>
      </c>
      <c r="B18" s="12" t="str">
        <f>配货表!B14</f>
        <v>普定</v>
      </c>
      <c r="C18" s="13">
        <f ca="1">配货表!C14</f>
        <v>2</v>
      </c>
      <c r="D18" s="13">
        <f ca="1">配货表!D14</f>
        <v>1</v>
      </c>
      <c r="E18" s="13">
        <f ca="1">配货表!E14</f>
        <v>1</v>
      </c>
      <c r="F18" s="13">
        <f ca="1">配货表!F14</f>
        <v>2</v>
      </c>
      <c r="G18" s="13">
        <f ca="1">配货表!G14</f>
        <v>2</v>
      </c>
      <c r="H18" s="13">
        <f ca="1">配货表!H14</f>
        <v>1</v>
      </c>
      <c r="I18" s="13"/>
      <c r="J18" s="13">
        <f ca="1">配货表!J14</f>
        <v>2</v>
      </c>
      <c r="K18" s="13">
        <f ca="1">配货表!K14</f>
        <v>1</v>
      </c>
      <c r="L18" s="13">
        <f ca="1">配货表!L14</f>
        <v>1</v>
      </c>
      <c r="M18" s="13">
        <f ca="1">配货表!M14</f>
        <v>3</v>
      </c>
      <c r="N18" s="13">
        <f ca="1">配货表!N14</f>
        <v>1</v>
      </c>
      <c r="O18" s="13">
        <f ca="1">配货表!O14</f>
        <v>3</v>
      </c>
    </row>
    <row r="19" ht="6" customHeight="1" spans="1:15">
      <c r="A19" s="9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31.5" customHeight="1" spans="1:15">
      <c r="A20" s="9">
        <f ca="1" t="shared" si="2"/>
        <v>26</v>
      </c>
      <c r="B20" s="10" t="str">
        <f>配货表!B15</f>
        <v>金阳一</v>
      </c>
      <c r="C20" s="11">
        <f ca="1">配货表!C15</f>
        <v>1</v>
      </c>
      <c r="D20" s="11">
        <f ca="1">配货表!D15</f>
        <v>3</v>
      </c>
      <c r="E20" s="11">
        <f ca="1">配货表!E15</f>
        <v>1</v>
      </c>
      <c r="F20" s="11">
        <f ca="1">配货表!F15</f>
        <v>1</v>
      </c>
      <c r="G20" s="11">
        <f ca="1">配货表!G15</f>
        <v>2</v>
      </c>
      <c r="H20" s="11">
        <f ca="1">配货表!H15</f>
        <v>3</v>
      </c>
      <c r="I20" s="11"/>
      <c r="J20" s="11">
        <f ca="1">配货表!J15</f>
        <v>3</v>
      </c>
      <c r="K20" s="11">
        <f ca="1">配货表!K15</f>
        <v>1</v>
      </c>
      <c r="L20" s="11">
        <f ca="1">配货表!L15</f>
        <v>3</v>
      </c>
      <c r="M20" s="11">
        <f ca="1">配货表!M15</f>
        <v>3</v>
      </c>
      <c r="N20" s="11">
        <f ca="1">配货表!N15</f>
        <v>2</v>
      </c>
      <c r="O20" s="11">
        <f ca="1">配货表!O15</f>
        <v>3</v>
      </c>
    </row>
    <row r="21" ht="6" customHeight="1" spans="1:15">
      <c r="A21" s="9"/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31.5" customHeight="1" spans="1:15">
      <c r="A22" s="9">
        <f ca="1" t="shared" ref="A22:A26" si="3">SUM(C22:O22)</f>
        <v>22</v>
      </c>
      <c r="B22" s="12" t="str">
        <f>配货表!B16</f>
        <v>昌明</v>
      </c>
      <c r="C22" s="13">
        <f ca="1">配货表!C16</f>
        <v>1</v>
      </c>
      <c r="D22" s="13">
        <f ca="1">配货表!D16</f>
        <v>2</v>
      </c>
      <c r="E22" s="13">
        <f ca="1">配货表!E16</f>
        <v>2</v>
      </c>
      <c r="F22" s="13">
        <f ca="1">配货表!F16</f>
        <v>1</v>
      </c>
      <c r="G22" s="13">
        <f ca="1">配货表!G16</f>
        <v>1</v>
      </c>
      <c r="H22" s="13">
        <f ca="1">配货表!H16</f>
        <v>1</v>
      </c>
      <c r="I22" s="13"/>
      <c r="J22" s="13">
        <f ca="1">配货表!J16</f>
        <v>3</v>
      </c>
      <c r="K22" s="13">
        <f ca="1">配货表!K16</f>
        <v>1</v>
      </c>
      <c r="L22" s="13">
        <f ca="1">配货表!L16</f>
        <v>2</v>
      </c>
      <c r="M22" s="13">
        <f ca="1">配货表!M16</f>
        <v>3</v>
      </c>
      <c r="N22" s="13">
        <f ca="1">配货表!N16</f>
        <v>3</v>
      </c>
      <c r="O22" s="13">
        <f ca="1">配货表!O16</f>
        <v>2</v>
      </c>
    </row>
    <row r="23" ht="6" customHeight="1" spans="1:15">
      <c r="A23" s="9"/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31.5" customHeight="1" spans="1:15">
      <c r="A24" s="9">
        <f ca="1" t="shared" si="3"/>
        <v>23</v>
      </c>
      <c r="B24" s="10" t="str">
        <f>配货表!B17</f>
        <v>兴仁三</v>
      </c>
      <c r="C24" s="11">
        <f ca="1">配货表!C17</f>
        <v>2</v>
      </c>
      <c r="D24" s="11">
        <f ca="1">配货表!D17</f>
        <v>2</v>
      </c>
      <c r="E24" s="11">
        <f ca="1">配货表!E17</f>
        <v>2</v>
      </c>
      <c r="F24" s="11">
        <f ca="1">配货表!F17</f>
        <v>2</v>
      </c>
      <c r="G24" s="11">
        <f ca="1">配货表!G17</f>
        <v>2</v>
      </c>
      <c r="H24" s="11">
        <f ca="1">配货表!H17</f>
        <v>3</v>
      </c>
      <c r="I24" s="11"/>
      <c r="J24" s="11">
        <f ca="1">配货表!J17</f>
        <v>1</v>
      </c>
      <c r="K24" s="11">
        <f ca="1">配货表!K17</f>
        <v>2</v>
      </c>
      <c r="L24" s="11">
        <f ca="1">配货表!L17</f>
        <v>2</v>
      </c>
      <c r="M24" s="11">
        <f ca="1">配货表!M17</f>
        <v>2</v>
      </c>
      <c r="N24" s="11">
        <f ca="1">配货表!N17</f>
        <v>2</v>
      </c>
      <c r="O24" s="11">
        <f ca="1">配货表!O17</f>
        <v>1</v>
      </c>
    </row>
    <row r="25" ht="6" customHeight="1" spans="1:15">
      <c r="A25" s="9"/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31.5" customHeight="1" spans="1:15">
      <c r="A26" s="9">
        <f ca="1" t="shared" si="3"/>
        <v>21</v>
      </c>
      <c r="B26" s="12" t="str">
        <f>配货表!B18</f>
        <v>兴仁二</v>
      </c>
      <c r="C26" s="13">
        <f ca="1">配货表!C18</f>
        <v>3</v>
      </c>
      <c r="D26" s="13">
        <f ca="1">配货表!D18</f>
        <v>1</v>
      </c>
      <c r="E26" s="13">
        <f ca="1">配货表!E18</f>
        <v>3</v>
      </c>
      <c r="F26" s="13">
        <f ca="1">配货表!F18</f>
        <v>1</v>
      </c>
      <c r="G26" s="13">
        <f ca="1">配货表!G18</f>
        <v>3</v>
      </c>
      <c r="H26" s="13">
        <f ca="1">配货表!H18</f>
        <v>1</v>
      </c>
      <c r="I26" s="13"/>
      <c r="J26" s="13">
        <f ca="1">配货表!J18</f>
        <v>1</v>
      </c>
      <c r="K26" s="13">
        <f ca="1">配货表!K18</f>
        <v>1</v>
      </c>
      <c r="L26" s="13">
        <f ca="1">配货表!L18</f>
        <v>3</v>
      </c>
      <c r="M26" s="13">
        <f ca="1">配货表!M18</f>
        <v>1</v>
      </c>
      <c r="N26" s="13">
        <f ca="1">配货表!N18</f>
        <v>2</v>
      </c>
      <c r="O26" s="13">
        <f ca="1">配货表!O18</f>
        <v>1</v>
      </c>
    </row>
    <row r="27" ht="6" customHeight="1" spans="1:15">
      <c r="A27" s="9"/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ht="31.5" customHeight="1" spans="1:15">
      <c r="A28" s="9">
        <f ca="1" t="shared" ref="A28:A32" si="4">SUM(C28:O28)</f>
        <v>23</v>
      </c>
      <c r="B28" s="10" t="str">
        <f>配货表!B19</f>
        <v>东路</v>
      </c>
      <c r="C28" s="11">
        <f ca="1">配货表!C19</f>
        <v>1</v>
      </c>
      <c r="D28" s="11">
        <f ca="1">配货表!D19</f>
        <v>2</v>
      </c>
      <c r="E28" s="11">
        <f ca="1">配货表!E19</f>
        <v>1</v>
      </c>
      <c r="F28" s="11">
        <f ca="1">配货表!F19</f>
        <v>1</v>
      </c>
      <c r="G28" s="11">
        <f ca="1">配货表!G19</f>
        <v>3</v>
      </c>
      <c r="H28" s="11">
        <f ca="1">配货表!H19</f>
        <v>2</v>
      </c>
      <c r="I28" s="11"/>
      <c r="J28" s="11">
        <f ca="1">配货表!J19</f>
        <v>3</v>
      </c>
      <c r="K28" s="11">
        <f ca="1">配货表!K19</f>
        <v>2</v>
      </c>
      <c r="L28" s="11">
        <f ca="1">配货表!L19</f>
        <v>3</v>
      </c>
      <c r="M28" s="11">
        <f ca="1">配货表!M19</f>
        <v>2</v>
      </c>
      <c r="N28" s="11">
        <f ca="1">配货表!N19</f>
        <v>1</v>
      </c>
      <c r="O28" s="11">
        <f ca="1">配货表!O19</f>
        <v>2</v>
      </c>
    </row>
    <row r="29" ht="6" customHeight="1" spans="1:15">
      <c r="A29" s="9"/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ht="31.5" customHeight="1" spans="1:15">
      <c r="A30" s="9">
        <f ca="1" t="shared" si="4"/>
        <v>23</v>
      </c>
      <c r="B30" s="12" t="str">
        <f>配货表!B20</f>
        <v>花果园</v>
      </c>
      <c r="C30" s="13">
        <f ca="1">配货表!C20</f>
        <v>2</v>
      </c>
      <c r="D30" s="13">
        <f ca="1">配货表!D20</f>
        <v>3</v>
      </c>
      <c r="E30" s="13">
        <f ca="1">配货表!E20</f>
        <v>1</v>
      </c>
      <c r="F30" s="13">
        <f ca="1">配货表!F20</f>
        <v>1</v>
      </c>
      <c r="G30" s="13">
        <f ca="1">配货表!G20</f>
        <v>3</v>
      </c>
      <c r="H30" s="13">
        <f ca="1">配货表!H20</f>
        <v>1</v>
      </c>
      <c r="I30" s="13"/>
      <c r="J30" s="13">
        <f ca="1">配货表!J20</f>
        <v>1</v>
      </c>
      <c r="K30" s="13">
        <f ca="1">配货表!K20</f>
        <v>3</v>
      </c>
      <c r="L30" s="13">
        <f ca="1">配货表!L20</f>
        <v>1</v>
      </c>
      <c r="M30" s="13">
        <f ca="1">配货表!M20</f>
        <v>3</v>
      </c>
      <c r="N30" s="13">
        <f ca="1">配货表!N20</f>
        <v>1</v>
      </c>
      <c r="O30" s="13">
        <f ca="1">配货表!O20</f>
        <v>3</v>
      </c>
    </row>
    <row r="31" ht="6" customHeight="1" spans="1:15">
      <c r="A31" s="9"/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ht="31.5" customHeight="1" spans="1:15">
      <c r="A32" s="9">
        <f ca="1" t="shared" si="4"/>
        <v>26</v>
      </c>
      <c r="B32" s="10" t="str">
        <f>配货表!B21</f>
        <v>中华路</v>
      </c>
      <c r="C32" s="11">
        <f ca="1">配货表!C21</f>
        <v>1</v>
      </c>
      <c r="D32" s="11">
        <f ca="1">配货表!D21</f>
        <v>2</v>
      </c>
      <c r="E32" s="11">
        <f ca="1">配货表!E21</f>
        <v>2</v>
      </c>
      <c r="F32" s="11">
        <f ca="1">配货表!F21</f>
        <v>3</v>
      </c>
      <c r="G32" s="11">
        <f ca="1">配货表!G21</f>
        <v>2</v>
      </c>
      <c r="H32" s="11">
        <f ca="1">配货表!H21</f>
        <v>3</v>
      </c>
      <c r="I32" s="11"/>
      <c r="J32" s="11">
        <f ca="1">配货表!J21</f>
        <v>2</v>
      </c>
      <c r="K32" s="11">
        <f ca="1">配货表!K21</f>
        <v>2</v>
      </c>
      <c r="L32" s="11">
        <f ca="1">配货表!L21</f>
        <v>2</v>
      </c>
      <c r="M32" s="11">
        <f ca="1">配货表!M21</f>
        <v>3</v>
      </c>
      <c r="N32" s="11">
        <f ca="1">配货表!N21</f>
        <v>3</v>
      </c>
      <c r="O32" s="11">
        <f ca="1">配货表!O21</f>
        <v>1</v>
      </c>
    </row>
    <row r="33" ht="6" customHeight="1" spans="1:15">
      <c r="A33" s="9"/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ht="31.5" customHeight="1" spans="1:15">
      <c r="A34" s="9">
        <f ca="1" t="shared" ref="A34:A38" si="5">SUM(C34:O34)</f>
        <v>29</v>
      </c>
      <c r="B34" s="12" t="str">
        <f>配货表!B22</f>
        <v>福泉</v>
      </c>
      <c r="C34" s="13">
        <f ca="1">配货表!C22</f>
        <v>3</v>
      </c>
      <c r="D34" s="13">
        <f ca="1">配货表!D22</f>
        <v>3</v>
      </c>
      <c r="E34" s="13">
        <f ca="1">配货表!E22</f>
        <v>3</v>
      </c>
      <c r="F34" s="13">
        <f ca="1">配货表!F22</f>
        <v>2</v>
      </c>
      <c r="G34" s="13">
        <f ca="1">配货表!G22</f>
        <v>3</v>
      </c>
      <c r="H34" s="13">
        <f ca="1">配货表!H22</f>
        <v>3</v>
      </c>
      <c r="I34" s="13"/>
      <c r="J34" s="13">
        <f ca="1">配货表!J22</f>
        <v>1</v>
      </c>
      <c r="K34" s="13">
        <f ca="1">配货表!K22</f>
        <v>3</v>
      </c>
      <c r="L34" s="13">
        <f ca="1">配货表!L22</f>
        <v>3</v>
      </c>
      <c r="M34" s="13">
        <f ca="1">配货表!M22</f>
        <v>1</v>
      </c>
      <c r="N34" s="13">
        <f ca="1">配货表!N22</f>
        <v>2</v>
      </c>
      <c r="O34" s="13">
        <f ca="1">配货表!O22</f>
        <v>2</v>
      </c>
    </row>
    <row r="35" ht="6" customHeight="1" spans="1:15">
      <c r="A35" s="9"/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ht="31.5" customHeight="1" spans="1:15">
      <c r="A36" s="9">
        <f ca="1" t="shared" si="5"/>
        <v>24</v>
      </c>
      <c r="B36" s="10" t="str">
        <f>配货表!B23</f>
        <v>站街</v>
      </c>
      <c r="C36" s="11">
        <f ca="1">配货表!C23</f>
        <v>3</v>
      </c>
      <c r="D36" s="11">
        <f ca="1">配货表!D23</f>
        <v>3</v>
      </c>
      <c r="E36" s="11">
        <f ca="1">配货表!E23</f>
        <v>1</v>
      </c>
      <c r="F36" s="11">
        <f ca="1">配货表!F23</f>
        <v>2</v>
      </c>
      <c r="G36" s="11">
        <f ca="1">配货表!G23</f>
        <v>1</v>
      </c>
      <c r="H36" s="11">
        <f ca="1">配货表!H23</f>
        <v>2</v>
      </c>
      <c r="I36" s="11"/>
      <c r="J36" s="11">
        <f ca="1">配货表!J23</f>
        <v>2</v>
      </c>
      <c r="K36" s="11">
        <f ca="1">配货表!K23</f>
        <v>1</v>
      </c>
      <c r="L36" s="11">
        <f ca="1">配货表!L23</f>
        <v>2</v>
      </c>
      <c r="M36" s="11">
        <f ca="1">配货表!M23</f>
        <v>2</v>
      </c>
      <c r="N36" s="11">
        <f ca="1">配货表!N23</f>
        <v>3</v>
      </c>
      <c r="O36" s="11">
        <f ca="1">配货表!O23</f>
        <v>2</v>
      </c>
    </row>
    <row r="37" ht="6" customHeight="1" spans="1:15">
      <c r="A37" s="9"/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ht="31.5" customHeight="1" spans="1:15">
      <c r="A38" s="9">
        <f ca="1" t="shared" si="5"/>
        <v>26</v>
      </c>
      <c r="B38" s="12" t="str">
        <f>配货表!B24</f>
        <v>龙广</v>
      </c>
      <c r="C38" s="13">
        <f ca="1">配货表!C24</f>
        <v>3</v>
      </c>
      <c r="D38" s="13">
        <f ca="1">配货表!D24</f>
        <v>2</v>
      </c>
      <c r="E38" s="13">
        <f ca="1">配货表!E24</f>
        <v>2</v>
      </c>
      <c r="F38" s="13">
        <f ca="1">配货表!F24</f>
        <v>2</v>
      </c>
      <c r="G38" s="13">
        <f ca="1">配货表!G24</f>
        <v>2</v>
      </c>
      <c r="H38" s="13">
        <f ca="1">配货表!H24</f>
        <v>3</v>
      </c>
      <c r="I38" s="13"/>
      <c r="J38" s="13">
        <f ca="1">配货表!J24</f>
        <v>3</v>
      </c>
      <c r="K38" s="13">
        <f ca="1">配货表!K24</f>
        <v>1</v>
      </c>
      <c r="L38" s="13">
        <f ca="1">配货表!L24</f>
        <v>1</v>
      </c>
      <c r="M38" s="13">
        <f ca="1">配货表!M24</f>
        <v>1</v>
      </c>
      <c r="N38" s="13">
        <f ca="1">配货表!N24</f>
        <v>3</v>
      </c>
      <c r="O38" s="13">
        <f ca="1">配货表!O24</f>
        <v>3</v>
      </c>
    </row>
    <row r="39" ht="6" customHeight="1" spans="1:15">
      <c r="A39" s="9"/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ht="31.5" customHeight="1" spans="1:15">
      <c r="A40" s="9">
        <f ca="1" t="shared" ref="A40:A44" si="6">SUM(C40:O40)</f>
        <v>24</v>
      </c>
      <c r="B40" s="10" t="str">
        <f>配货表!B25</f>
        <v>牛场</v>
      </c>
      <c r="C40" s="11">
        <f ca="1">配货表!C25</f>
        <v>2</v>
      </c>
      <c r="D40" s="11">
        <f ca="1">配货表!D25</f>
        <v>2</v>
      </c>
      <c r="E40" s="11">
        <f ca="1">配货表!E25</f>
        <v>3</v>
      </c>
      <c r="F40" s="11">
        <f ca="1">配货表!F25</f>
        <v>2</v>
      </c>
      <c r="G40" s="11">
        <f ca="1">配货表!G25</f>
        <v>1</v>
      </c>
      <c r="H40" s="11">
        <f ca="1">配货表!H25</f>
        <v>3</v>
      </c>
      <c r="I40" s="11"/>
      <c r="J40" s="11">
        <f ca="1">配货表!J25</f>
        <v>3</v>
      </c>
      <c r="K40" s="11">
        <f ca="1">配货表!K25</f>
        <v>1</v>
      </c>
      <c r="L40" s="11">
        <f ca="1">配货表!L25</f>
        <v>2</v>
      </c>
      <c r="M40" s="11">
        <f ca="1">配货表!M25</f>
        <v>1</v>
      </c>
      <c r="N40" s="11">
        <f ca="1">配货表!N25</f>
        <v>2</v>
      </c>
      <c r="O40" s="11">
        <f ca="1">配货表!O25</f>
        <v>2</v>
      </c>
    </row>
    <row r="41" ht="6" customHeight="1" spans="1:15">
      <c r="A41" s="9"/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ht="31.5" customHeight="1" spans="1:15">
      <c r="A42" s="9">
        <f ca="1" t="shared" si="6"/>
        <v>22</v>
      </c>
      <c r="B42" s="12" t="str">
        <f>配货表!B26</f>
        <v>顶效</v>
      </c>
      <c r="C42" s="13">
        <f ca="1">配货表!C26</f>
        <v>3</v>
      </c>
      <c r="D42" s="13">
        <f ca="1">配货表!D26</f>
        <v>1</v>
      </c>
      <c r="E42" s="13">
        <f ca="1">配货表!E26</f>
        <v>1</v>
      </c>
      <c r="F42" s="13">
        <f ca="1">配货表!F26</f>
        <v>1</v>
      </c>
      <c r="G42" s="13">
        <f ca="1">配货表!G26</f>
        <v>3</v>
      </c>
      <c r="H42" s="13">
        <f ca="1">配货表!H26</f>
        <v>3</v>
      </c>
      <c r="I42" s="13"/>
      <c r="J42" s="13">
        <f ca="1">配货表!J26</f>
        <v>3</v>
      </c>
      <c r="K42" s="13">
        <f ca="1">配货表!K26</f>
        <v>1</v>
      </c>
      <c r="L42" s="13">
        <f ca="1">配货表!L26</f>
        <v>1</v>
      </c>
      <c r="M42" s="13">
        <f ca="1">配货表!M26</f>
        <v>1</v>
      </c>
      <c r="N42" s="13">
        <f ca="1">配货表!N26</f>
        <v>1</v>
      </c>
      <c r="O42" s="13">
        <f ca="1">配货表!O26</f>
        <v>3</v>
      </c>
    </row>
    <row r="43" ht="6" customHeight="1" spans="1:15">
      <c r="A43" s="9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ht="31.5" customHeight="1" spans="1:15">
      <c r="A44" s="9">
        <f ca="1" t="shared" si="6"/>
        <v>28</v>
      </c>
      <c r="B44" s="10" t="str">
        <f>配货表!B27</f>
        <v>者相</v>
      </c>
      <c r="C44" s="11">
        <f ca="1">配货表!C27</f>
        <v>3</v>
      </c>
      <c r="D44" s="11">
        <f ca="1">配货表!D27</f>
        <v>2</v>
      </c>
      <c r="E44" s="11">
        <f ca="1">配货表!E27</f>
        <v>3</v>
      </c>
      <c r="F44" s="11">
        <f ca="1">配货表!F27</f>
        <v>3</v>
      </c>
      <c r="G44" s="11">
        <f ca="1">配货表!G27</f>
        <v>3</v>
      </c>
      <c r="H44" s="11">
        <f ca="1">配货表!H27</f>
        <v>1</v>
      </c>
      <c r="I44" s="11"/>
      <c r="J44" s="11">
        <f ca="1">配货表!J27</f>
        <v>3</v>
      </c>
      <c r="K44" s="11">
        <f ca="1">配货表!K27</f>
        <v>1</v>
      </c>
      <c r="L44" s="11">
        <f ca="1">配货表!L27</f>
        <v>1</v>
      </c>
      <c r="M44" s="11">
        <f ca="1">配货表!M27</f>
        <v>3</v>
      </c>
      <c r="N44" s="11">
        <f ca="1">配货表!N27</f>
        <v>3</v>
      </c>
      <c r="O44" s="11">
        <f ca="1">配货表!O27</f>
        <v>2</v>
      </c>
    </row>
    <row r="45" ht="6" customHeight="1" spans="1:15">
      <c r="A45" s="9"/>
      <c r="B45" s="12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ht="31.5" customHeight="1" spans="1:15">
      <c r="A46" s="9">
        <f ca="1" t="shared" ref="A46:A50" si="7">SUM(C46:O46)</f>
        <v>26</v>
      </c>
      <c r="B46" s="12" t="str">
        <f>配货表!B28</f>
        <v>贞丰</v>
      </c>
      <c r="C46" s="13">
        <f ca="1">配货表!C28</f>
        <v>1</v>
      </c>
      <c r="D46" s="13">
        <f ca="1">配货表!D28</f>
        <v>2</v>
      </c>
      <c r="E46" s="13">
        <f ca="1">配货表!E28</f>
        <v>3</v>
      </c>
      <c r="F46" s="13">
        <f ca="1">配货表!F28</f>
        <v>3</v>
      </c>
      <c r="G46" s="13">
        <f ca="1">配货表!G28</f>
        <v>1</v>
      </c>
      <c r="H46" s="13">
        <f ca="1">配货表!H28</f>
        <v>2</v>
      </c>
      <c r="I46" s="13"/>
      <c r="J46" s="13">
        <f ca="1">配货表!J28</f>
        <v>1</v>
      </c>
      <c r="K46" s="13">
        <f ca="1">配货表!K28</f>
        <v>3</v>
      </c>
      <c r="L46" s="13">
        <f ca="1">配货表!L28</f>
        <v>2</v>
      </c>
      <c r="M46" s="13">
        <f ca="1">配货表!M28</f>
        <v>3</v>
      </c>
      <c r="N46" s="13">
        <f ca="1">配货表!N28</f>
        <v>3</v>
      </c>
      <c r="O46" s="13">
        <f ca="1">配货表!O28</f>
        <v>2</v>
      </c>
    </row>
    <row r="47" ht="6" customHeight="1" spans="1:15">
      <c r="A47" s="9"/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 ht="31.5" customHeight="1" spans="1:15">
      <c r="A48" s="9">
        <f ca="1" t="shared" si="7"/>
        <v>23</v>
      </c>
      <c r="B48" s="10" t="str">
        <f>配货表!B29</f>
        <v>大山</v>
      </c>
      <c r="C48" s="11">
        <f ca="1">配货表!C29</f>
        <v>2</v>
      </c>
      <c r="D48" s="11">
        <f ca="1">配货表!D29</f>
        <v>3</v>
      </c>
      <c r="E48" s="11">
        <f ca="1">配货表!E29</f>
        <v>2</v>
      </c>
      <c r="F48" s="11">
        <f ca="1">配货表!F29</f>
        <v>1</v>
      </c>
      <c r="G48" s="11">
        <f ca="1">配货表!G29</f>
        <v>2</v>
      </c>
      <c r="H48" s="11">
        <f ca="1">配货表!H29</f>
        <v>2</v>
      </c>
      <c r="I48" s="11"/>
      <c r="J48" s="11">
        <f ca="1">配货表!J29</f>
        <v>1</v>
      </c>
      <c r="K48" s="11">
        <f ca="1">配货表!K29</f>
        <v>2</v>
      </c>
      <c r="L48" s="11">
        <f ca="1">配货表!L29</f>
        <v>1</v>
      </c>
      <c r="M48" s="11">
        <f ca="1">配货表!M29</f>
        <v>3</v>
      </c>
      <c r="N48" s="11">
        <f ca="1">配货表!N29</f>
        <v>1</v>
      </c>
      <c r="O48" s="11">
        <f ca="1">配货表!O29</f>
        <v>3</v>
      </c>
    </row>
    <row r="49" ht="6" customHeight="1" spans="1:15">
      <c r="A49" s="9"/>
      <c r="B49" s="12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31.5" customHeight="1" spans="1:15">
      <c r="A50" s="9">
        <f ca="1" t="shared" si="7"/>
        <v>24</v>
      </c>
      <c r="B50" s="12" t="str">
        <f>配货表!B30</f>
        <v>扎佐</v>
      </c>
      <c r="C50" s="13">
        <f ca="1">配货表!C30</f>
        <v>3</v>
      </c>
      <c r="D50" s="13">
        <f ca="1">配货表!D30</f>
        <v>1</v>
      </c>
      <c r="E50" s="13">
        <f ca="1">配货表!E30</f>
        <v>2</v>
      </c>
      <c r="F50" s="13">
        <f ca="1">配货表!F30</f>
        <v>3</v>
      </c>
      <c r="G50" s="13">
        <f ca="1">配货表!G30</f>
        <v>3</v>
      </c>
      <c r="H50" s="13">
        <f ca="1">配货表!H30</f>
        <v>2</v>
      </c>
      <c r="I50" s="13"/>
      <c r="J50" s="13">
        <f ca="1">配货表!J30</f>
        <v>3</v>
      </c>
      <c r="K50" s="13">
        <f ca="1">配货表!K30</f>
        <v>2</v>
      </c>
      <c r="L50" s="13">
        <f ca="1">配货表!L30</f>
        <v>1</v>
      </c>
      <c r="M50" s="13">
        <f ca="1">配货表!M30</f>
        <v>2</v>
      </c>
      <c r="N50" s="13">
        <f ca="1">配货表!N30</f>
        <v>1</v>
      </c>
      <c r="O50" s="13">
        <f ca="1">配货表!O30</f>
        <v>1</v>
      </c>
    </row>
    <row r="51" ht="6" customHeight="1" spans="1:15">
      <c r="A51" s="9"/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ht="31.5" customHeight="1" spans="1:15">
      <c r="A52" s="9">
        <f ca="1" t="shared" ref="A52:A56" si="8">SUM(C52:O52)</f>
        <v>18</v>
      </c>
      <c r="B52" s="10" t="str">
        <f>配货表!B31</f>
        <v>小河</v>
      </c>
      <c r="C52" s="11">
        <f ca="1">配货表!C31</f>
        <v>1</v>
      </c>
      <c r="D52" s="11">
        <f ca="1">配货表!D31</f>
        <v>1</v>
      </c>
      <c r="E52" s="11">
        <f ca="1">配货表!E31</f>
        <v>1</v>
      </c>
      <c r="F52" s="11">
        <f ca="1">配货表!F31</f>
        <v>2</v>
      </c>
      <c r="G52" s="11">
        <f ca="1">配货表!G31</f>
        <v>1</v>
      </c>
      <c r="H52" s="11">
        <f ca="1">配货表!H31</f>
        <v>2</v>
      </c>
      <c r="I52" s="11"/>
      <c r="J52" s="11">
        <f ca="1">配货表!J31</f>
        <v>2</v>
      </c>
      <c r="K52" s="11">
        <f ca="1">配货表!K31</f>
        <v>1</v>
      </c>
      <c r="L52" s="11">
        <f ca="1">配货表!L31</f>
        <v>1</v>
      </c>
      <c r="M52" s="11">
        <f ca="1">配货表!M31</f>
        <v>2</v>
      </c>
      <c r="N52" s="11">
        <f ca="1">配货表!N31</f>
        <v>1</v>
      </c>
      <c r="O52" s="11">
        <f ca="1">配货表!O31</f>
        <v>3</v>
      </c>
    </row>
    <row r="53" ht="6" customHeight="1" spans="1:15">
      <c r="A53" s="9"/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ht="31.5" customHeight="1" spans="1:15">
      <c r="A54" s="9">
        <f ca="1" t="shared" si="8"/>
        <v>27</v>
      </c>
      <c r="B54" s="12" t="str">
        <f>配货表!B32</f>
        <v>安龙二</v>
      </c>
      <c r="C54" s="13">
        <f ca="1">配货表!C32</f>
        <v>3</v>
      </c>
      <c r="D54" s="13">
        <f ca="1">配货表!D32</f>
        <v>1</v>
      </c>
      <c r="E54" s="13">
        <f ca="1">配货表!E32</f>
        <v>3</v>
      </c>
      <c r="F54" s="13">
        <f ca="1">配货表!F32</f>
        <v>3</v>
      </c>
      <c r="G54" s="13">
        <f ca="1">配货表!G32</f>
        <v>2</v>
      </c>
      <c r="H54" s="13">
        <f ca="1">配货表!H32</f>
        <v>3</v>
      </c>
      <c r="I54" s="13"/>
      <c r="J54" s="13">
        <f ca="1">配货表!J32</f>
        <v>1</v>
      </c>
      <c r="K54" s="13">
        <f ca="1">配货表!K32</f>
        <v>3</v>
      </c>
      <c r="L54" s="13">
        <f ca="1">配货表!L32</f>
        <v>3</v>
      </c>
      <c r="M54" s="13">
        <f ca="1">配货表!M32</f>
        <v>1</v>
      </c>
      <c r="N54" s="13">
        <f ca="1">配货表!N32</f>
        <v>3</v>
      </c>
      <c r="O54" s="13">
        <f ca="1">配货表!O32</f>
        <v>1</v>
      </c>
    </row>
    <row r="55" ht="6" customHeight="1" spans="1:15">
      <c r="A55" s="9"/>
      <c r="B55" s="12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 ht="31.5" customHeight="1" spans="1:15">
      <c r="A56" s="9">
        <f ca="1" t="shared" si="8"/>
        <v>24</v>
      </c>
      <c r="B56" s="10" t="str">
        <f>配货表!B33</f>
        <v>卫城</v>
      </c>
      <c r="C56" s="11">
        <f ca="1">配货表!C33</f>
        <v>1</v>
      </c>
      <c r="D56" s="11">
        <f ca="1">配货表!D33</f>
        <v>3</v>
      </c>
      <c r="E56" s="11">
        <f ca="1">配货表!E33</f>
        <v>2</v>
      </c>
      <c r="F56" s="11">
        <f ca="1">配货表!F33</f>
        <v>2</v>
      </c>
      <c r="G56" s="11">
        <f ca="1">配货表!G33</f>
        <v>2</v>
      </c>
      <c r="H56" s="11">
        <f ca="1">配货表!H33</f>
        <v>1</v>
      </c>
      <c r="I56" s="11"/>
      <c r="J56" s="11">
        <f ca="1">配货表!J33</f>
        <v>2</v>
      </c>
      <c r="K56" s="11">
        <f ca="1">配货表!K33</f>
        <v>2</v>
      </c>
      <c r="L56" s="11">
        <f ca="1">配货表!L33</f>
        <v>2</v>
      </c>
      <c r="M56" s="11">
        <f ca="1">配货表!M33</f>
        <v>2</v>
      </c>
      <c r="N56" s="11">
        <f ca="1">配货表!N33</f>
        <v>2</v>
      </c>
      <c r="O56" s="11">
        <f ca="1">配货表!O33</f>
        <v>3</v>
      </c>
    </row>
    <row r="57" ht="6" customHeight="1" spans="1:15">
      <c r="A57" s="9"/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ht="31.5" customHeight="1" spans="1:15">
      <c r="A58" s="9">
        <f ca="1" t="shared" ref="A58:A62" si="9">SUM(C58:O58)</f>
        <v>23</v>
      </c>
      <c r="B58" s="12" t="str">
        <f>配货表!B34</f>
        <v>安顺</v>
      </c>
      <c r="C58" s="13">
        <f ca="1">配货表!C34</f>
        <v>2</v>
      </c>
      <c r="D58" s="13">
        <f ca="1">配货表!D34</f>
        <v>1</v>
      </c>
      <c r="E58" s="13">
        <f ca="1">配货表!E34</f>
        <v>3</v>
      </c>
      <c r="F58" s="13">
        <f ca="1">配货表!F34</f>
        <v>3</v>
      </c>
      <c r="G58" s="13">
        <f ca="1">配货表!G34</f>
        <v>1</v>
      </c>
      <c r="H58" s="13">
        <f ca="1">配货表!H34</f>
        <v>1</v>
      </c>
      <c r="I58" s="13"/>
      <c r="J58" s="13">
        <f ca="1">配货表!J34</f>
        <v>2</v>
      </c>
      <c r="K58" s="13">
        <f ca="1">配货表!K34</f>
        <v>3</v>
      </c>
      <c r="L58" s="13">
        <f ca="1">配货表!L34</f>
        <v>1</v>
      </c>
      <c r="M58" s="13">
        <f ca="1">配货表!M34</f>
        <v>2</v>
      </c>
      <c r="N58" s="13">
        <f ca="1">配货表!N34</f>
        <v>2</v>
      </c>
      <c r="O58" s="13">
        <f ca="1">配货表!O34</f>
        <v>2</v>
      </c>
    </row>
    <row r="59" ht="6" customHeight="1" spans="1:15">
      <c r="A59" s="9"/>
      <c r="B59" s="12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ht="31.5" customHeight="1" spans="1:15">
      <c r="A60" s="9">
        <f ca="1" t="shared" si="9"/>
        <v>25</v>
      </c>
      <c r="B60" s="10" t="str">
        <f>配货表!B35</f>
        <v>兴仁一</v>
      </c>
      <c r="C60" s="11">
        <f ca="1">配货表!C35</f>
        <v>2</v>
      </c>
      <c r="D60" s="11">
        <f ca="1">配货表!D35</f>
        <v>1</v>
      </c>
      <c r="E60" s="11">
        <f ca="1">配货表!E35</f>
        <v>3</v>
      </c>
      <c r="F60" s="11">
        <f ca="1">配货表!F35</f>
        <v>2</v>
      </c>
      <c r="G60" s="11">
        <f ca="1">配货表!G35</f>
        <v>2</v>
      </c>
      <c r="H60" s="11">
        <f ca="1">配货表!H35</f>
        <v>1</v>
      </c>
      <c r="I60" s="11"/>
      <c r="J60" s="11">
        <f ca="1">配货表!J35</f>
        <v>1</v>
      </c>
      <c r="K60" s="11">
        <f ca="1">配货表!K35</f>
        <v>2</v>
      </c>
      <c r="L60" s="11">
        <f ca="1">配货表!L35</f>
        <v>2</v>
      </c>
      <c r="M60" s="11">
        <f ca="1">配货表!M35</f>
        <v>3</v>
      </c>
      <c r="N60" s="11">
        <f ca="1">配货表!N35</f>
        <v>3</v>
      </c>
      <c r="O60" s="11">
        <f ca="1">配货表!O35</f>
        <v>3</v>
      </c>
    </row>
    <row r="61" ht="6" customHeight="1" spans="1:15">
      <c r="A61" s="9"/>
      <c r="B61" s="12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ht="31.5" customHeight="1" spans="1:15">
      <c r="A62" s="9">
        <f ca="1" t="shared" si="9"/>
        <v>26</v>
      </c>
      <c r="B62" s="12" t="str">
        <f>配货表!B36</f>
        <v>花一</v>
      </c>
      <c r="C62" s="13">
        <f ca="1">配货表!C36</f>
        <v>3</v>
      </c>
      <c r="D62" s="13">
        <f ca="1">配货表!D36</f>
        <v>3</v>
      </c>
      <c r="E62" s="13">
        <f ca="1">配货表!E36</f>
        <v>3</v>
      </c>
      <c r="F62" s="13">
        <f ca="1">配货表!F36</f>
        <v>3</v>
      </c>
      <c r="G62" s="13">
        <f ca="1">配货表!G36</f>
        <v>3</v>
      </c>
      <c r="H62" s="13">
        <f ca="1">配货表!H36</f>
        <v>1</v>
      </c>
      <c r="I62" s="13"/>
      <c r="J62" s="13">
        <f ca="1">配货表!J36</f>
        <v>2</v>
      </c>
      <c r="K62" s="13">
        <f ca="1">配货表!K36</f>
        <v>2</v>
      </c>
      <c r="L62" s="13">
        <f ca="1">配货表!L36</f>
        <v>1</v>
      </c>
      <c r="M62" s="13">
        <f ca="1">配货表!M36</f>
        <v>2</v>
      </c>
      <c r="N62" s="13">
        <f ca="1">配货表!N36</f>
        <v>2</v>
      </c>
      <c r="O62" s="13">
        <f ca="1">配货表!O36</f>
        <v>1</v>
      </c>
    </row>
    <row r="63" ht="6" customHeight="1" spans="1:15">
      <c r="A63" s="9"/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ht="31.5" customHeight="1" spans="1:15">
      <c r="A64" s="9">
        <f ca="1" t="shared" ref="A64:A68" si="10">SUM(C64:O64)</f>
        <v>22</v>
      </c>
      <c r="B64" s="10" t="str">
        <f>配货表!B37</f>
        <v>南白</v>
      </c>
      <c r="C64" s="11">
        <f ca="1">配货表!C37</f>
        <v>3</v>
      </c>
      <c r="D64" s="11">
        <f ca="1">配货表!D37</f>
        <v>2</v>
      </c>
      <c r="E64" s="11">
        <f ca="1">配货表!E37</f>
        <v>1</v>
      </c>
      <c r="F64" s="11">
        <f ca="1">配货表!F37</f>
        <v>3</v>
      </c>
      <c r="G64" s="11">
        <f ca="1">配货表!G37</f>
        <v>2</v>
      </c>
      <c r="H64" s="11">
        <f ca="1">配货表!H37</f>
        <v>1</v>
      </c>
      <c r="I64" s="11"/>
      <c r="J64" s="11">
        <f ca="1">配货表!J37</f>
        <v>1</v>
      </c>
      <c r="K64" s="11">
        <f ca="1">配货表!K37</f>
        <v>3</v>
      </c>
      <c r="L64" s="11">
        <f ca="1">配货表!L37</f>
        <v>1</v>
      </c>
      <c r="M64" s="11">
        <f ca="1">配货表!M37</f>
        <v>2</v>
      </c>
      <c r="N64" s="11">
        <f ca="1">配货表!N37</f>
        <v>1</v>
      </c>
      <c r="O64" s="11">
        <f ca="1">配货表!O37</f>
        <v>2</v>
      </c>
    </row>
    <row r="65" ht="6" customHeight="1" spans="1:15">
      <c r="A65" s="9"/>
      <c r="B65" s="12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ht="31.5" customHeight="1" spans="1:15">
      <c r="A66" s="9">
        <f ca="1" t="shared" si="10"/>
        <v>24</v>
      </c>
      <c r="B66" s="12" t="str">
        <f>配货表!B38</f>
        <v>翁安二</v>
      </c>
      <c r="C66" s="13">
        <f ca="1">配货表!C38</f>
        <v>3</v>
      </c>
      <c r="D66" s="13">
        <f ca="1">配货表!D38</f>
        <v>2</v>
      </c>
      <c r="E66" s="13">
        <f ca="1">配货表!E38</f>
        <v>2</v>
      </c>
      <c r="F66" s="13">
        <f ca="1">配货表!F38</f>
        <v>3</v>
      </c>
      <c r="G66" s="13">
        <f ca="1">配货表!G38</f>
        <v>1</v>
      </c>
      <c r="H66" s="13">
        <f ca="1">配货表!H38</f>
        <v>1</v>
      </c>
      <c r="I66" s="13"/>
      <c r="J66" s="13">
        <f ca="1">配货表!J38</f>
        <v>1</v>
      </c>
      <c r="K66" s="13">
        <f ca="1">配货表!K38</f>
        <v>2</v>
      </c>
      <c r="L66" s="13">
        <f ca="1">配货表!L38</f>
        <v>3</v>
      </c>
      <c r="M66" s="13">
        <f ca="1">配货表!M38</f>
        <v>3</v>
      </c>
      <c r="N66" s="13">
        <f ca="1">配货表!N38</f>
        <v>2</v>
      </c>
      <c r="O66" s="13">
        <f ca="1">配货表!O38</f>
        <v>1</v>
      </c>
    </row>
    <row r="67" ht="6" customHeight="1" spans="1:15">
      <c r="A67" s="9"/>
      <c r="B67" s="12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ht="31.5" customHeight="1" spans="1:15">
      <c r="A68" s="9">
        <f ca="1" t="shared" si="10"/>
        <v>22</v>
      </c>
      <c r="B68" s="10" t="str">
        <f>配货表!B39</f>
        <v>榕江</v>
      </c>
      <c r="C68" s="11">
        <f ca="1">配货表!C39</f>
        <v>3</v>
      </c>
      <c r="D68" s="11">
        <f ca="1">配货表!D39</f>
        <v>1</v>
      </c>
      <c r="E68" s="11">
        <f ca="1">配货表!E39</f>
        <v>1</v>
      </c>
      <c r="F68" s="11">
        <f ca="1">配货表!F39</f>
        <v>1</v>
      </c>
      <c r="G68" s="11">
        <f ca="1">配货表!G39</f>
        <v>2</v>
      </c>
      <c r="H68" s="11">
        <f ca="1">配货表!H39</f>
        <v>2</v>
      </c>
      <c r="I68" s="11"/>
      <c r="J68" s="11">
        <f ca="1">配货表!J39</f>
        <v>3</v>
      </c>
      <c r="K68" s="11">
        <f ca="1">配货表!K39</f>
        <v>3</v>
      </c>
      <c r="L68" s="11">
        <f ca="1">配货表!L39</f>
        <v>1</v>
      </c>
      <c r="M68" s="11">
        <f ca="1">配货表!M39</f>
        <v>2</v>
      </c>
      <c r="N68" s="11">
        <f ca="1">配货表!N39</f>
        <v>2</v>
      </c>
      <c r="O68" s="11">
        <f ca="1">配货表!O39</f>
        <v>1</v>
      </c>
    </row>
    <row r="69" ht="6" customHeight="1" spans="1:15">
      <c r="A69" s="9"/>
      <c r="B69" s="12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ht="31.5" customHeight="1" spans="1:15">
      <c r="A70" s="9">
        <f ca="1">SUM(C70:O70)</f>
        <v>20</v>
      </c>
      <c r="B70" s="12" t="str">
        <f>配货表!B40</f>
        <v>正安</v>
      </c>
      <c r="C70" s="13">
        <f ca="1">配货表!C40</f>
        <v>2</v>
      </c>
      <c r="D70" s="13">
        <f ca="1">配货表!D40</f>
        <v>1</v>
      </c>
      <c r="E70" s="13">
        <f ca="1">配货表!E40</f>
        <v>1</v>
      </c>
      <c r="F70" s="13">
        <f ca="1">配货表!F40</f>
        <v>2</v>
      </c>
      <c r="G70" s="13">
        <f ca="1">配货表!G40</f>
        <v>1</v>
      </c>
      <c r="H70" s="13">
        <f ca="1">配货表!H40</f>
        <v>2</v>
      </c>
      <c r="I70" s="13"/>
      <c r="J70" s="13">
        <f ca="1">配货表!J40</f>
        <v>2</v>
      </c>
      <c r="K70" s="13">
        <f ca="1">配货表!K40</f>
        <v>1</v>
      </c>
      <c r="L70" s="13">
        <f ca="1">配货表!L40</f>
        <v>1</v>
      </c>
      <c r="M70" s="13">
        <f ca="1">配货表!M40</f>
        <v>3</v>
      </c>
      <c r="N70" s="13">
        <f ca="1">配货表!N40</f>
        <v>2</v>
      </c>
      <c r="O70" s="13">
        <f ca="1">配货表!O40</f>
        <v>2</v>
      </c>
    </row>
  </sheetData>
  <mergeCells count="3">
    <mergeCell ref="C1:H1"/>
    <mergeCell ref="J1:O1"/>
    <mergeCell ref="A1:B2"/>
  </mergeCells>
  <pageMargins left="0" right="0" top="0" bottom="0" header="0" footer="0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配货表</vt:lpstr>
      <vt:lpstr>打印表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金家辉</dc:creator>
  <cp:lastModifiedBy>WPS_1652868257</cp:lastModifiedBy>
  <dcterms:created xsi:type="dcterms:W3CDTF">2022-06-06T04:05:00Z</dcterms:created>
  <dcterms:modified xsi:type="dcterms:W3CDTF">2022-06-16T07:40:43Z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E8C4945954CE4B04B2E3E4D57D42BD7F</vt:lpwstr>
  </property>
  <property fmtid="{D5CDD505-2E9C-101B-9397-08002B2CF9AE}" pid="3" name="KSOProductBuildVer">
    <vt:lpwstr>2052-11.1.0.11744</vt:lpwstr>
  </property>
</Properties>
</file>